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drofasting/Downloads/"/>
    </mc:Choice>
  </mc:AlternateContent>
  <xr:revisionPtr revIDLastSave="0" documentId="13_ncr:1_{43254CEE-5E22-AE4D-95AF-3C7BD7D3EFFA}" xr6:coauthVersionLast="47" xr6:coauthVersionMax="47" xr10:uidLastSave="{00000000-0000-0000-0000-000000000000}"/>
  <bookViews>
    <workbookView xWindow="0" yWindow="660" windowWidth="16000" windowHeight="18980" xr2:uid="{CD6F9456-AB92-5448-9CE2-F0C930A13991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5" i="1" s="1"/>
  <c r="B9" i="1"/>
  <c r="B15" i="1" s="1"/>
  <c r="C9" i="1"/>
  <c r="C15" i="1" s="1"/>
  <c r="D9" i="1"/>
  <c r="D15" i="1" s="1"/>
  <c r="E9" i="1"/>
  <c r="E15" i="1" s="1"/>
  <c r="G9" i="1"/>
  <c r="G15" i="1" s="1"/>
  <c r="D10" i="1" l="1"/>
  <c r="C10" i="1"/>
  <c r="G10" i="1"/>
  <c r="E10" i="1"/>
  <c r="F10" i="1"/>
</calcChain>
</file>

<file path=xl/sharedStrings.xml><?xml version="1.0" encoding="utf-8"?>
<sst xmlns="http://schemas.openxmlformats.org/spreadsheetml/2006/main" count="19" uniqueCount="17">
  <si>
    <t>Argon (Sellside case)</t>
  </si>
  <si>
    <t>Revenue</t>
  </si>
  <si>
    <t>1 105,0</t>
  </si>
  <si>
    <t>1 284,0</t>
  </si>
  <si>
    <t>1 407,0</t>
  </si>
  <si>
    <t>1 603,0</t>
  </si>
  <si>
    <t>% vekst</t>
  </si>
  <si>
    <t>-</t>
  </si>
  <si>
    <t>Total omsetning</t>
  </si>
  <si>
    <t>EBITDA</t>
  </si>
  <si>
    <t>% margin</t>
  </si>
  <si>
    <t>Herjedal Sellside</t>
  </si>
  <si>
    <t>A&amp;P</t>
  </si>
  <si>
    <t>Advisory</t>
  </si>
  <si>
    <t>Licenses</t>
  </si>
  <si>
    <t>Total revenue</t>
  </si>
  <si>
    <t>EBITDA (pre IFRS)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</si>
</sst>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FFFFFF"/>
      <name val="Arial"/>
      <family val="2"/>
    </font>
    <font>
      <b/>
      <sz val="12"/>
      <color rgb="FF002C55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i/>
      <sz val="12"/>
      <color rgb="FF000000"/>
      <name val="Arial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B135-D2ED-6547-B998-4E0EF4CCB5C2}">
  <dimension ref="A3:I15"/>
  <sheetViews>
    <sheetView tabSelected="1" workbookViewId="0">
      <selection activeCell="E9" sqref="E9"/>
    </sheetView>
  </sheetViews>
  <sheetFormatPr baseColWidth="10" defaultRowHeight="16" x14ac:dyDescent="0.2"/>
  <cols>
    <col min="1" max="1" width="34" customWidth="1"/>
  </cols>
  <sheetData>
    <row r="3" spans="1:9" x14ac:dyDescent="0.2">
      <c r="A3" s="7" t="s">
        <v>11</v>
      </c>
    </row>
    <row r="4" spans="1:9" x14ac:dyDescent="0.2">
      <c r="A4" s="1" t="s">
        <v>0</v>
      </c>
      <c r="B4" s="7">
        <v>2025</v>
      </c>
      <c r="C4" s="7">
        <v>2026</v>
      </c>
      <c r="D4" s="7">
        <v>2027</v>
      </c>
      <c r="E4" s="7">
        <v>2028</v>
      </c>
      <c r="F4" s="7">
        <v>2029</v>
      </c>
      <c r="G4" s="7">
        <v>2030</v>
      </c>
      <c r="H4" s="7"/>
      <c r="I4" s="7"/>
    </row>
    <row r="5" spans="1:9" x14ac:dyDescent="0.2">
      <c r="A5" s="2" t="s">
        <v>1</v>
      </c>
    </row>
    <row r="6" spans="1:9" x14ac:dyDescent="0.2">
      <c r="A6" s="3" t="s">
        <v>13</v>
      </c>
      <c r="B6" s="3">
        <v>43</v>
      </c>
      <c r="C6" s="3">
        <v>52</v>
      </c>
      <c r="D6" s="3">
        <v>56</v>
      </c>
      <c r="E6" s="3">
        <v>68</v>
      </c>
      <c r="F6" s="3">
        <v>83</v>
      </c>
      <c r="G6" s="3">
        <v>101</v>
      </c>
      <c r="H6" s="3"/>
      <c r="I6" s="3"/>
    </row>
    <row r="7" spans="1:9" x14ac:dyDescent="0.2">
      <c r="A7" s="3" t="s">
        <v>14</v>
      </c>
      <c r="B7" s="3">
        <v>32</v>
      </c>
      <c r="C7" s="3">
        <v>50</v>
      </c>
      <c r="D7" s="3">
        <v>54</v>
      </c>
      <c r="E7" s="3">
        <v>60</v>
      </c>
      <c r="F7" s="3">
        <v>67</v>
      </c>
      <c r="G7" s="3">
        <v>75</v>
      </c>
      <c r="H7" s="3"/>
      <c r="I7" s="3"/>
    </row>
    <row r="8" spans="1:9" x14ac:dyDescent="0.2">
      <c r="A8" s="3" t="s">
        <v>12</v>
      </c>
      <c r="B8" s="3">
        <v>492</v>
      </c>
      <c r="C8" s="3">
        <v>512</v>
      </c>
      <c r="D8" s="3">
        <v>555</v>
      </c>
      <c r="E8" s="3">
        <v>610</v>
      </c>
      <c r="F8" s="3">
        <v>673</v>
      </c>
      <c r="G8" s="3">
        <v>746</v>
      </c>
      <c r="H8" s="3"/>
      <c r="I8" s="3"/>
    </row>
    <row r="9" spans="1:9" x14ac:dyDescent="0.2">
      <c r="A9" s="4" t="s">
        <v>15</v>
      </c>
      <c r="B9" s="4">
        <f>SUM(B6:B8)</f>
        <v>567</v>
      </c>
      <c r="C9" s="4">
        <f t="shared" ref="C9:G9" si="0">SUM(C6:C8)</f>
        <v>614</v>
      </c>
      <c r="D9" s="4">
        <f t="shared" si="0"/>
        <v>665</v>
      </c>
      <c r="E9" s="4">
        <f t="shared" si="0"/>
        <v>738</v>
      </c>
      <c r="F9" s="4">
        <f>SUM(F6:F8)</f>
        <v>823</v>
      </c>
      <c r="G9" s="4">
        <f t="shared" si="0"/>
        <v>922</v>
      </c>
      <c r="H9" s="4"/>
      <c r="I9" s="4"/>
    </row>
    <row r="10" spans="1:9" x14ac:dyDescent="0.2">
      <c r="A10" s="5" t="s">
        <v>6</v>
      </c>
      <c r="B10" s="5" t="s">
        <v>7</v>
      </c>
      <c r="C10" s="6">
        <f>(C9-B9)/B9</f>
        <v>8.2892416225749554E-2</v>
      </c>
      <c r="D10" s="6">
        <f>(D9-C9)/C9</f>
        <v>8.3061889250814328E-2</v>
      </c>
      <c r="E10" s="6">
        <f t="shared" ref="E10:G10" si="1">(E9-D9)/D9</f>
        <v>0.10977443609022557</v>
      </c>
      <c r="F10" s="6">
        <f t="shared" si="1"/>
        <v>0.11517615176151762</v>
      </c>
      <c r="G10" s="6">
        <f t="shared" si="1"/>
        <v>0.12029161603888214</v>
      </c>
      <c r="H10" s="6"/>
      <c r="I10" s="6"/>
    </row>
    <row r="11" spans="1:9" x14ac:dyDescent="0.2">
      <c r="A11" s="4" t="s">
        <v>8</v>
      </c>
      <c r="B11" s="4">
        <v>754</v>
      </c>
      <c r="C11" s="4">
        <v>873</v>
      </c>
      <c r="D11" s="4" t="s">
        <v>2</v>
      </c>
      <c r="E11" s="4" t="s">
        <v>3</v>
      </c>
      <c r="F11" s="4" t="s">
        <v>4</v>
      </c>
      <c r="G11" s="4" t="s">
        <v>5</v>
      </c>
      <c r="H11" s="4"/>
      <c r="I11" s="4"/>
    </row>
    <row r="12" spans="1:9" x14ac:dyDescent="0.2">
      <c r="A12" s="5" t="s">
        <v>6</v>
      </c>
      <c r="B12" s="5" t="s">
        <v>7</v>
      </c>
      <c r="C12" s="6">
        <v>0.158</v>
      </c>
      <c r="D12" s="6">
        <v>0.26700000000000002</v>
      </c>
      <c r="E12" s="6">
        <v>0.16200000000000001</v>
      </c>
      <c r="F12" s="6">
        <v>9.6000000000000002E-2</v>
      </c>
      <c r="G12" s="6">
        <v>0.14000000000000001</v>
      </c>
      <c r="H12" s="6"/>
      <c r="I12" s="6"/>
    </row>
    <row r="13" spans="1:9" x14ac:dyDescent="0.2">
      <c r="A13" s="2" t="s">
        <v>9</v>
      </c>
    </row>
    <row r="14" spans="1:9" x14ac:dyDescent="0.2">
      <c r="A14" s="3" t="s">
        <v>16</v>
      </c>
      <c r="B14" s="3">
        <v>71</v>
      </c>
      <c r="C14" s="3">
        <v>74</v>
      </c>
      <c r="D14" s="3">
        <v>77</v>
      </c>
      <c r="E14" s="3">
        <v>95</v>
      </c>
      <c r="F14" s="3">
        <v>123</v>
      </c>
      <c r="G14" s="3">
        <v>157</v>
      </c>
      <c r="H14" s="3"/>
      <c r="I14" s="3"/>
    </row>
    <row r="15" spans="1:9" x14ac:dyDescent="0.2">
      <c r="A15" s="5" t="s">
        <v>10</v>
      </c>
      <c r="B15" s="6">
        <f>B14/B9</f>
        <v>0.12522045855379188</v>
      </c>
      <c r="C15" s="6">
        <f t="shared" ref="C15:G15" si="2">C14/C9</f>
        <v>0.12052117263843648</v>
      </c>
      <c r="D15" s="6">
        <f t="shared" si="2"/>
        <v>0.11578947368421053</v>
      </c>
      <c r="E15" s="6">
        <f t="shared" si="2"/>
        <v>0.12872628726287264</v>
      </c>
      <c r="F15" s="6">
        <f t="shared" si="2"/>
        <v>0.14945321992709598</v>
      </c>
      <c r="G15" s="6">
        <f t="shared" si="2"/>
        <v>0.17028199566160521</v>
      </c>
      <c r="H15" s="6"/>
      <c r="I1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Office-bruker</dc:creator>
  <cp:lastModifiedBy>Microsoft Office-bruker</cp:lastModifiedBy>
  <dcterms:created xsi:type="dcterms:W3CDTF">2026-02-24T15:50:45Z</dcterms:created>
  <dcterms:modified xsi:type="dcterms:W3CDTF">2026-02-25T14:39:11Z</dcterms:modified>
</cp:coreProperties>
</file>