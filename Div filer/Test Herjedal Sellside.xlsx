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fasting/CODE/ECIT-acquisition/Div filer/"/>
    </mc:Choice>
  </mc:AlternateContent>
  <xr:revisionPtr revIDLastSave="0" documentId="13_ncr:1_{45365261-07D0-D744-867A-CC200FDDE680}" xr6:coauthVersionLast="47" xr6:coauthVersionMax="47" xr10:uidLastSave="{00000000-0000-0000-0000-000000000000}"/>
  <bookViews>
    <workbookView xWindow="0" yWindow="660" windowWidth="19380" windowHeight="16300" xr2:uid="{CD6F9456-AB92-5448-9CE2-F0C930A13991}"/>
  </bookViews>
  <sheets>
    <sheet name="Ark1" sheetId="1" r:id="rId1"/>
  </sheet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F15" i="1"/>
  <c r="G15" i="1" s="1"/>
  <c r="H15" i="1" s="1"/>
  <c r="E15" i="1"/>
  <c r="D15" i="1"/>
  <c r="D19" i="1"/>
  <c r="E19" i="1"/>
  <c r="F19" i="1"/>
  <c r="G19" i="1"/>
  <c r="H19" i="1"/>
  <c r="C19" i="1"/>
  <c r="D18" i="1"/>
  <c r="E18" i="1"/>
  <c r="F18" i="1"/>
  <c r="G18" i="1"/>
  <c r="H18" i="1"/>
  <c r="C18" i="1"/>
  <c r="H17" i="1"/>
  <c r="E17" i="1"/>
  <c r="F17" i="1"/>
  <c r="G17" i="1"/>
  <c r="D17" i="1"/>
  <c r="D16" i="1"/>
  <c r="E16" i="1"/>
  <c r="F16" i="1"/>
  <c r="G16" i="1"/>
  <c r="H16" i="1"/>
  <c r="C16" i="1"/>
  <c r="G9" i="1" l="1"/>
  <c r="G13" i="1" s="1"/>
  <c r="C9" i="1"/>
  <c r="D9" i="1"/>
  <c r="E9" i="1"/>
  <c r="E13" i="1" s="1"/>
  <c r="F9" i="1"/>
  <c r="F13" i="1" s="1"/>
  <c r="H9" i="1"/>
  <c r="H13" i="1" s="1"/>
  <c r="D13" i="1" l="1"/>
  <c r="D10" i="1"/>
  <c r="C13" i="1"/>
  <c r="E10" i="1"/>
  <c r="H10" i="1"/>
  <c r="F10" i="1"/>
  <c r="G10" i="1"/>
</calcChain>
</file>

<file path=xl/sharedStrings.xml><?xml version="1.0" encoding="utf-8"?>
<sst xmlns="http://schemas.openxmlformats.org/spreadsheetml/2006/main" count="16" uniqueCount="16">
  <si>
    <t>Argon (Sellside case)</t>
  </si>
  <si>
    <t>Revenue</t>
  </si>
  <si>
    <t>% vekst</t>
  </si>
  <si>
    <t>EBITDA</t>
  </si>
  <si>
    <t>% margin</t>
  </si>
  <si>
    <t>Herjedal Sellside</t>
  </si>
  <si>
    <t>A&amp;P</t>
  </si>
  <si>
    <t>Advisory</t>
  </si>
  <si>
    <t>Licenses</t>
  </si>
  <si>
    <t>Total revenue</t>
  </si>
  <si>
    <t>EBITDA (pre IFRS)</t>
  </si>
  <si>
    <t>NWC effect</t>
  </si>
  <si>
    <t>Tax</t>
  </si>
  <si>
    <t>Capex</t>
  </si>
  <si>
    <t>Cashflow net</t>
  </si>
  <si>
    <t>NIBD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</si>
</sst>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"/>
    <numFmt numFmtId="165" formatCode="0.0"/>
    <numFmt numFmtId="166" formatCode="0.000\ %"/>
  </numFmts>
  <fonts count="8" x14ac:knownFonts="1">
    <font>
      <sz val="12"/>
      <color theme="1"/>
      <name val="Aptos Narrow"/>
      <family val="2"/>
      <scheme val="minor"/>
    </font>
    <font>
      <sz val="12"/>
      <color rgb="FFFFFFFF"/>
      <name val="Arial"/>
      <family val="2"/>
    </font>
    <font>
      <b/>
      <sz val="12"/>
      <color rgb="FF002C55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0" fontId="5" fillId="0" borderId="0" xfId="0" applyNumberFormat="1" applyFont="1"/>
    <xf numFmtId="0" fontId="6" fillId="0" borderId="0" xfId="0" applyFont="1"/>
    <xf numFmtId="164" fontId="5" fillId="0" borderId="0" xfId="0" applyNumberFormat="1" applyFont="1"/>
    <xf numFmtId="9" fontId="0" fillId="0" borderId="0" xfId="1" applyFont="1"/>
    <xf numFmtId="164" fontId="0" fillId="0" borderId="0" xfId="1" applyNumberFormat="1" applyFont="1"/>
    <xf numFmtId="9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6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Pros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B135-D2ED-6547-B998-4E0EF4CCB5C2}">
  <dimension ref="A3:J26"/>
  <sheetViews>
    <sheetView tabSelected="1" zoomScale="113" zoomScaleNormal="260" workbookViewId="0">
      <selection activeCell="A21" sqref="A21:I28"/>
    </sheetView>
  </sheetViews>
  <sheetFormatPr baseColWidth="10" defaultRowHeight="16" x14ac:dyDescent="0.2"/>
  <cols>
    <col min="1" max="1" width="34" customWidth="1"/>
    <col min="2" max="2" width="10.1640625" customWidth="1"/>
    <col min="3" max="8" width="12.6640625" bestFit="1" customWidth="1"/>
  </cols>
  <sheetData>
    <row r="3" spans="1:10" x14ac:dyDescent="0.2">
      <c r="A3" s="7" t="s">
        <v>5</v>
      </c>
      <c r="B3" s="7"/>
    </row>
    <row r="4" spans="1:10" x14ac:dyDescent="0.2">
      <c r="A4" s="1" t="s">
        <v>0</v>
      </c>
      <c r="B4" s="1"/>
      <c r="C4" s="7">
        <v>2025</v>
      </c>
      <c r="D4" s="7">
        <v>2026</v>
      </c>
      <c r="E4" s="7">
        <v>2027</v>
      </c>
      <c r="F4" s="7">
        <v>2028</v>
      </c>
      <c r="G4" s="7">
        <v>2029</v>
      </c>
      <c r="H4" s="7">
        <v>2030</v>
      </c>
      <c r="I4" s="7"/>
      <c r="J4" s="7"/>
    </row>
    <row r="5" spans="1:10" x14ac:dyDescent="0.2">
      <c r="A5" s="2" t="s">
        <v>1</v>
      </c>
      <c r="B5" s="2"/>
    </row>
    <row r="6" spans="1:10" x14ac:dyDescent="0.2">
      <c r="A6" s="3" t="s">
        <v>7</v>
      </c>
      <c r="B6" s="3"/>
      <c r="C6" s="3">
        <v>43</v>
      </c>
      <c r="D6" s="3">
        <v>52</v>
      </c>
      <c r="E6" s="3">
        <v>56</v>
      </c>
      <c r="F6" s="3">
        <v>68</v>
      </c>
      <c r="G6" s="3">
        <v>83</v>
      </c>
      <c r="H6" s="3">
        <v>101</v>
      </c>
      <c r="I6" s="3"/>
      <c r="J6" s="3"/>
    </row>
    <row r="7" spans="1:10" x14ac:dyDescent="0.2">
      <c r="A7" s="3" t="s">
        <v>8</v>
      </c>
      <c r="B7" s="3"/>
      <c r="C7" s="3">
        <v>32</v>
      </c>
      <c r="D7" s="3">
        <v>50</v>
      </c>
      <c r="E7" s="3">
        <v>54</v>
      </c>
      <c r="F7" s="3">
        <v>60</v>
      </c>
      <c r="G7" s="3">
        <v>67</v>
      </c>
      <c r="H7" s="3">
        <v>75</v>
      </c>
      <c r="I7" s="3"/>
      <c r="J7" s="3"/>
    </row>
    <row r="8" spans="1:10" x14ac:dyDescent="0.2">
      <c r="A8" s="3" t="s">
        <v>6</v>
      </c>
      <c r="B8" s="3"/>
      <c r="C8" s="3">
        <v>492</v>
      </c>
      <c r="D8" s="3">
        <v>512</v>
      </c>
      <c r="E8" s="3">
        <v>555</v>
      </c>
      <c r="F8" s="3">
        <v>610</v>
      </c>
      <c r="G8" s="3">
        <v>673</v>
      </c>
      <c r="H8" s="3">
        <v>746</v>
      </c>
      <c r="I8" s="3"/>
      <c r="J8" s="3"/>
    </row>
    <row r="9" spans="1:10" x14ac:dyDescent="0.2">
      <c r="A9" s="4" t="s">
        <v>9</v>
      </c>
      <c r="B9" s="4"/>
      <c r="C9" s="4">
        <f>SUM(C6:C8)</f>
        <v>567</v>
      </c>
      <c r="D9" s="4">
        <f t="shared" ref="D9:H9" si="0">SUM(D6:D8)</f>
        <v>614</v>
      </c>
      <c r="E9" s="4">
        <f t="shared" si="0"/>
        <v>665</v>
      </c>
      <c r="F9" s="4">
        <f t="shared" si="0"/>
        <v>738</v>
      </c>
      <c r="G9" s="4">
        <f>SUM(G6:G8)</f>
        <v>823</v>
      </c>
      <c r="H9" s="4">
        <f t="shared" si="0"/>
        <v>922</v>
      </c>
      <c r="I9" s="4"/>
      <c r="J9" s="4"/>
    </row>
    <row r="10" spans="1:10" x14ac:dyDescent="0.2">
      <c r="A10" s="5" t="s">
        <v>2</v>
      </c>
      <c r="B10" s="5"/>
      <c r="C10" s="5"/>
      <c r="D10" s="8">
        <f>(D9-C9)/C9</f>
        <v>8.2892416225749554E-2</v>
      </c>
      <c r="E10" s="8">
        <f>(E9-D9)/D9</f>
        <v>8.3061889250814328E-2</v>
      </c>
      <c r="F10" s="8">
        <f t="shared" ref="F10:H10" si="1">(F9-E9)/E9</f>
        <v>0.10977443609022557</v>
      </c>
      <c r="G10" s="8">
        <f t="shared" si="1"/>
        <v>0.11517615176151762</v>
      </c>
      <c r="H10" s="8">
        <f t="shared" si="1"/>
        <v>0.12029161603888214</v>
      </c>
      <c r="I10" s="6"/>
      <c r="J10" s="6"/>
    </row>
    <row r="11" spans="1:10" x14ac:dyDescent="0.2">
      <c r="A11" s="2" t="s">
        <v>3</v>
      </c>
      <c r="B11" s="2"/>
    </row>
    <row r="12" spans="1:10" x14ac:dyDescent="0.2">
      <c r="A12" s="3" t="s">
        <v>10</v>
      </c>
      <c r="B12" s="3"/>
      <c r="C12" s="3">
        <v>71</v>
      </c>
      <c r="D12" s="3">
        <v>74</v>
      </c>
      <c r="E12" s="3">
        <v>77</v>
      </c>
      <c r="F12" s="3">
        <v>95</v>
      </c>
      <c r="G12" s="3">
        <v>123</v>
      </c>
      <c r="H12" s="3">
        <v>157</v>
      </c>
      <c r="I12" s="3"/>
      <c r="J12" s="3"/>
    </row>
    <row r="13" spans="1:10" x14ac:dyDescent="0.2">
      <c r="A13" s="5" t="s">
        <v>4</v>
      </c>
      <c r="B13" s="5"/>
      <c r="C13" s="8">
        <f t="shared" ref="C13:H13" si="2">C12/C9</f>
        <v>0.12522045855379188</v>
      </c>
      <c r="D13" s="8">
        <f t="shared" si="2"/>
        <v>0.12052117263843648</v>
      </c>
      <c r="E13" s="8">
        <f t="shared" si="2"/>
        <v>0.11578947368421053</v>
      </c>
      <c r="F13" s="8">
        <f t="shared" si="2"/>
        <v>0.12872628726287264</v>
      </c>
      <c r="G13" s="8">
        <f t="shared" si="2"/>
        <v>0.14945321992709598</v>
      </c>
      <c r="H13" s="8">
        <f t="shared" si="2"/>
        <v>0.17028199566160521</v>
      </c>
      <c r="I13" s="6"/>
      <c r="J13" s="6"/>
    </row>
    <row r="15" spans="1:10" x14ac:dyDescent="0.2">
      <c r="A15" t="s">
        <v>15</v>
      </c>
      <c r="C15" s="15">
        <v>0</v>
      </c>
      <c r="D15" s="15">
        <f>C19+D19</f>
        <v>92.432291710758378</v>
      </c>
      <c r="E15" s="15">
        <f>D15+E19</f>
        <v>140.85467442680778</v>
      </c>
      <c r="F15" s="15">
        <f t="shared" ref="F15:H15" si="3">E15+F19</f>
        <v>202.03954426807763</v>
      </c>
      <c r="G15" s="15">
        <f t="shared" si="3"/>
        <v>283.57689911816578</v>
      </c>
      <c r="H15" s="15">
        <f t="shared" si="3"/>
        <v>389.9017365079365</v>
      </c>
    </row>
    <row r="16" spans="1:10" x14ac:dyDescent="0.2">
      <c r="A16" t="s">
        <v>13</v>
      </c>
      <c r="B16" s="16">
        <v>0.01</v>
      </c>
      <c r="C16" s="15">
        <f>C9*$B$16</f>
        <v>5.67</v>
      </c>
      <c r="D16" s="15">
        <f t="shared" ref="D16:H16" si="4">D9*$B$16</f>
        <v>6.1400000000000006</v>
      </c>
      <c r="E16" s="15">
        <f t="shared" si="4"/>
        <v>6.65</v>
      </c>
      <c r="F16" s="15">
        <f t="shared" si="4"/>
        <v>7.38</v>
      </c>
      <c r="G16" s="15">
        <f t="shared" si="4"/>
        <v>8.23</v>
      </c>
      <c r="H16" s="15">
        <f t="shared" si="4"/>
        <v>9.2200000000000006</v>
      </c>
    </row>
    <row r="17" spans="1:8" x14ac:dyDescent="0.2">
      <c r="A17" t="s">
        <v>11</v>
      </c>
      <c r="B17" s="17">
        <f>C17/C9</f>
        <v>9.700176366843033E-3</v>
      </c>
      <c r="C17" s="15">
        <v>5.5</v>
      </c>
      <c r="D17" s="15">
        <f>$B$17*D9</f>
        <v>5.9559082892416226</v>
      </c>
      <c r="E17" s="15">
        <f t="shared" ref="E17:H17" si="5">$B$17*E9</f>
        <v>6.4506172839506171</v>
      </c>
      <c r="F17" s="15">
        <f t="shared" si="5"/>
        <v>7.1587301587301582</v>
      </c>
      <c r="G17" s="15">
        <f t="shared" si="5"/>
        <v>7.9832451499118164</v>
      </c>
      <c r="H17" s="15">
        <f t="shared" si="5"/>
        <v>8.9435626102292769</v>
      </c>
    </row>
    <row r="18" spans="1:8" x14ac:dyDescent="0.2">
      <c r="A18" t="s">
        <v>12</v>
      </c>
      <c r="B18" s="11">
        <v>0.22</v>
      </c>
      <c r="C18" s="15">
        <f>(C12-C16)*$B$18</f>
        <v>14.3726</v>
      </c>
      <c r="D18" s="15">
        <f t="shared" ref="D18:H18" si="6">(D12-D16)*$B$18</f>
        <v>14.9292</v>
      </c>
      <c r="E18" s="15">
        <f t="shared" si="6"/>
        <v>15.476999999999999</v>
      </c>
      <c r="F18" s="15">
        <f t="shared" si="6"/>
        <v>19.276400000000002</v>
      </c>
      <c r="G18" s="15">
        <f t="shared" si="6"/>
        <v>25.249399999999998</v>
      </c>
      <c r="H18" s="15">
        <f t="shared" si="6"/>
        <v>32.511600000000001</v>
      </c>
    </row>
    <row r="19" spans="1:8" x14ac:dyDescent="0.2">
      <c r="A19" t="s">
        <v>14</v>
      </c>
      <c r="C19" s="15">
        <f>C12-(C16+C17+C18)</f>
        <v>45.4574</v>
      </c>
      <c r="D19" s="15">
        <f t="shared" ref="D19:H19" si="7">D12-(D16+D17+D18)</f>
        <v>46.974891710758378</v>
      </c>
      <c r="E19" s="15">
        <f t="shared" si="7"/>
        <v>48.422382716049384</v>
      </c>
      <c r="F19" s="15">
        <f t="shared" si="7"/>
        <v>61.184869841269844</v>
      </c>
      <c r="G19" s="15">
        <f t="shared" si="7"/>
        <v>81.537354850088178</v>
      </c>
      <c r="H19" s="15">
        <f t="shared" si="7"/>
        <v>106.32483738977072</v>
      </c>
    </row>
    <row r="21" spans="1:8" x14ac:dyDescent="0.2">
      <c r="A21" s="7"/>
      <c r="B21" s="7"/>
    </row>
    <row r="22" spans="1:8" x14ac:dyDescent="0.2">
      <c r="C22" s="7"/>
      <c r="D22" s="7"/>
      <c r="E22" s="7"/>
      <c r="F22" s="7"/>
      <c r="G22" s="7"/>
      <c r="H22" s="7"/>
    </row>
    <row r="23" spans="1:8" x14ac:dyDescent="0.2">
      <c r="C23" s="13"/>
      <c r="D23" s="13"/>
      <c r="E23" s="13"/>
      <c r="F23" s="13"/>
      <c r="G23" s="13"/>
      <c r="H23" s="13"/>
    </row>
    <row r="24" spans="1:8" x14ac:dyDescent="0.2">
      <c r="C24" s="9"/>
      <c r="D24" s="11"/>
      <c r="E24" s="11"/>
      <c r="F24" s="11"/>
      <c r="G24" s="11"/>
      <c r="H24" s="11"/>
    </row>
    <row r="25" spans="1:8" x14ac:dyDescent="0.2">
      <c r="C25" s="12"/>
      <c r="D25" s="12"/>
      <c r="E25" s="12"/>
      <c r="F25" s="12"/>
      <c r="G25" s="12"/>
      <c r="H25" s="12"/>
    </row>
    <row r="26" spans="1:8" x14ac:dyDescent="0.2">
      <c r="C26" s="10"/>
      <c r="D26" s="14"/>
      <c r="E26" s="14"/>
      <c r="F26" s="14"/>
      <c r="G26" s="14"/>
      <c r="H2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Office-bruker</dc:creator>
  <cp:lastModifiedBy>Pedro Fasting</cp:lastModifiedBy>
  <dcterms:created xsi:type="dcterms:W3CDTF">2026-02-24T15:50:45Z</dcterms:created>
  <dcterms:modified xsi:type="dcterms:W3CDTF">2026-03-23T11:58:56Z</dcterms:modified>
</cp:coreProperties>
</file>