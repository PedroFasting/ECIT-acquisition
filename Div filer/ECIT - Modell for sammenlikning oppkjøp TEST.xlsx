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fasting/Downloads/"/>
    </mc:Choice>
  </mc:AlternateContent>
  <xr:revisionPtr revIDLastSave="0" documentId="13_ncr:1_{D100C1C3-87EF-6E4F-BDFE-44F68C3938CD}" xr6:coauthVersionLast="47" xr6:coauthVersionMax="47" xr10:uidLastSave="{00000000-0000-0000-0000-000000000000}"/>
  <bookViews>
    <workbookView xWindow="6460" yWindow="600" windowWidth="32560" windowHeight="27760" xr2:uid="{C48B5BFB-5913-F143-9E20-F7E0F57DCDE5}"/>
  </bookViews>
  <sheets>
    <sheet name="Ark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H43" i="1" s="1"/>
  <c r="I43" i="1" s="1"/>
  <c r="F43" i="1"/>
  <c r="F12" i="1"/>
  <c r="E43" i="1"/>
  <c r="E12" i="1"/>
  <c r="G12" i="1"/>
  <c r="H12" i="1" s="1"/>
  <c r="I12" i="1" s="1"/>
  <c r="C2" i="1"/>
  <c r="F56" i="1"/>
  <c r="E56" i="1"/>
  <c r="I54" i="1"/>
  <c r="I55" i="1" s="1"/>
  <c r="H54" i="1"/>
  <c r="H55" i="1" s="1"/>
  <c r="G54" i="1"/>
  <c r="G55" i="1" s="1"/>
  <c r="F54" i="1"/>
  <c r="F55" i="1" s="1"/>
  <c r="E54" i="1"/>
  <c r="E55" i="1" s="1"/>
  <c r="F46" i="1"/>
  <c r="G46" i="1" s="1"/>
  <c r="H46" i="1" s="1"/>
  <c r="I46" i="1" s="1"/>
  <c r="M39" i="1" l="1"/>
  <c r="E25" i="1" l="1"/>
  <c r="F17" i="1" l="1"/>
  <c r="G17" i="1" s="1"/>
  <c r="H17" i="1" l="1"/>
  <c r="I17" i="1" l="1"/>
  <c r="E27" i="1" l="1"/>
  <c r="E26" i="1"/>
  <c r="F27" i="1"/>
  <c r="C3" i="1"/>
  <c r="F57" i="1" l="1"/>
  <c r="E57" i="1"/>
  <c r="E28" i="1"/>
  <c r="C27" i="1"/>
  <c r="C5" i="1"/>
  <c r="C56" i="1"/>
  <c r="G56" i="1" s="1"/>
  <c r="E59" i="1" l="1"/>
  <c r="G59" i="1"/>
  <c r="H59" i="1"/>
  <c r="I59" i="1"/>
  <c r="F59" i="1"/>
  <c r="H56" i="1"/>
  <c r="G57" i="1"/>
  <c r="E30" i="1"/>
  <c r="G27" i="1"/>
  <c r="H27" i="1" s="1"/>
  <c r="I27" i="1" s="1"/>
  <c r="F61" i="1" l="1"/>
  <c r="F60" i="1"/>
  <c r="F63" i="1" s="1"/>
  <c r="F64" i="1" s="1"/>
  <c r="I60" i="1"/>
  <c r="I61" i="1"/>
  <c r="H61" i="1"/>
  <c r="H60" i="1"/>
  <c r="H63" i="1" s="1"/>
  <c r="H64" i="1" s="1"/>
  <c r="G61" i="1"/>
  <c r="G60" i="1"/>
  <c r="G63" i="1" s="1"/>
  <c r="G64" i="1" s="1"/>
  <c r="E61" i="1"/>
  <c r="E60" i="1"/>
  <c r="E63" i="1" s="1"/>
  <c r="E64" i="1" s="1"/>
  <c r="I56" i="1"/>
  <c r="H57" i="1"/>
  <c r="E32" i="1"/>
  <c r="E31" i="1"/>
  <c r="E34" i="1" s="1"/>
  <c r="E35" i="1" s="1"/>
  <c r="I63" i="1" l="1"/>
  <c r="I64" i="1" s="1"/>
  <c r="I57" i="1"/>
  <c r="F25" i="1" l="1"/>
  <c r="F26" i="1" s="1"/>
  <c r="G25" i="1" l="1"/>
  <c r="G26" i="1" s="1"/>
  <c r="G30" i="1" s="1"/>
  <c r="G32" i="1" s="1"/>
  <c r="F28" i="1"/>
  <c r="F30" i="1"/>
  <c r="F32" i="1" s="1"/>
  <c r="G28" i="1" l="1"/>
  <c r="F31" i="1"/>
  <c r="F34" i="1" s="1"/>
  <c r="F35" i="1" s="1"/>
  <c r="G31" i="1"/>
  <c r="G34" i="1" s="1"/>
  <c r="G35" i="1" s="1"/>
  <c r="H25" i="1"/>
  <c r="H26" i="1" s="1"/>
  <c r="I25" i="1"/>
  <c r="I26" i="1" s="1"/>
  <c r="I28" i="1" l="1"/>
  <c r="I30" i="1"/>
  <c r="I32" i="1" s="1"/>
  <c r="H30" i="1"/>
  <c r="H31" i="1" s="1"/>
  <c r="H28" i="1"/>
  <c r="H32" i="1"/>
  <c r="I31" i="1" l="1"/>
  <c r="I34" i="1" s="1"/>
  <c r="I35" i="1" s="1"/>
  <c r="H34" i="1"/>
  <c r="H35" i="1" s="1"/>
</calcChain>
</file>

<file path=xl/sharedStrings.xml><?xml version="1.0" encoding="utf-8"?>
<sst xmlns="http://schemas.openxmlformats.org/spreadsheetml/2006/main" count="49" uniqueCount="30">
  <si>
    <t>Organic growth %</t>
  </si>
  <si>
    <t>Acquired revenue, MNOK</t>
  </si>
  <si>
    <t>Revenue</t>
  </si>
  <si>
    <t>EBITDA</t>
  </si>
  <si>
    <t>EBITDA %</t>
  </si>
  <si>
    <t>Consolidated P&amp;L</t>
  </si>
  <si>
    <t>Option debt (Incl Mgt Holding)</t>
  </si>
  <si>
    <t>NIBD (incl various)</t>
  </si>
  <si>
    <t>EQV</t>
  </si>
  <si>
    <t>Pref</t>
  </si>
  <si>
    <t>Number of  ord shares 31.12.25</t>
  </si>
  <si>
    <t>Number of ord shares Completion</t>
  </si>
  <si>
    <t xml:space="preserve">MIP share </t>
  </si>
  <si>
    <t>Existing warrants share</t>
  </si>
  <si>
    <t>TSO warrants</t>
  </si>
  <si>
    <t>Per share (before MIP &amp;TSO)</t>
  </si>
  <si>
    <t>MIP</t>
  </si>
  <si>
    <t>TSO</t>
  </si>
  <si>
    <t>Ex warrents</t>
  </si>
  <si>
    <t>EQV (post MIP, TSO, ExW)</t>
  </si>
  <si>
    <t>Per share  (post MIP, TSO, ExW)</t>
  </si>
  <si>
    <t>EV</t>
  </si>
  <si>
    <t>Adjustments</t>
  </si>
  <si>
    <t>Input</t>
  </si>
  <si>
    <t>Comment</t>
  </si>
  <si>
    <t>Name: Baseline Plan, Without IFRS16 (Adjusted for 2025 and B2026)</t>
  </si>
  <si>
    <t>Name: Ambitios Plan, Without IFRS16 (Adjusted for 2025 and B2026)</t>
  </si>
  <si>
    <t>Acquired companies multiple</t>
  </si>
  <si>
    <t>Acquired with shares</t>
  </si>
  <si>
    <t>Number of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</si>
</sst>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"/>
    <numFmt numFmtId="165" formatCode="#,##0.0"/>
    <numFmt numFmtId="173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sz val="14"/>
      <color rgb="FF03223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164" fontId="0" fillId="0" borderId="0" xfId="1" applyNumberFormat="1" applyFont="1"/>
    <xf numFmtId="3" fontId="0" fillId="0" borderId="0" xfId="0" applyNumberFormat="1"/>
    <xf numFmtId="0" fontId="3" fillId="0" borderId="0" xfId="0" applyFont="1"/>
    <xf numFmtId="0" fontId="0" fillId="3" borderId="0" xfId="0" applyFill="1"/>
    <xf numFmtId="164" fontId="0" fillId="3" borderId="0" xfId="1" applyNumberFormat="1" applyFont="1" applyFill="1"/>
    <xf numFmtId="3" fontId="0" fillId="3" borderId="0" xfId="0" applyNumberFormat="1" applyFill="1"/>
    <xf numFmtId="0" fontId="4" fillId="0" borderId="0" xfId="0" applyFont="1"/>
    <xf numFmtId="173" fontId="0" fillId="0" borderId="0" xfId="0" applyNumberFormat="1"/>
    <xf numFmtId="165" fontId="0" fillId="0" borderId="0" xfId="0" applyNumberFormat="1"/>
    <xf numFmtId="164" fontId="0" fillId="0" borderId="0" xfId="0" applyNumberFormat="1"/>
    <xf numFmtId="9" fontId="0" fillId="0" borderId="0" xfId="0" applyNumberFormat="1"/>
  </cellXfs>
  <cellStyles count="2">
    <cellStyle name="Normal" xfId="0" builtinId="0"/>
    <cellStyle name="Pros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itas-my.sharepoint.com/personal/pedro_fasting_ecit_com/Documents/ECIT%20-%20Generelt/Allocated%20MIP%20tracker%20ECIT_TopCo_Updated_2026_02_24%20-%20Master%20for%20share.xlsx" TargetMode="External"/><Relationship Id="rId1" Type="http://schemas.openxmlformats.org/officeDocument/2006/relationships/externalLinkPath" Target="https://ecitas-my.sharepoint.com/personal/pedro_fasting_ecit_com/Documents/ECIT%20-%20Generelt/Allocated%20MIP%20tracker%20ECIT_TopCo_Updated_2026_02_24%20-%20Master%20for%20sha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Waterfall - Structuring"/>
      <sheetName val="MIP allocation"/>
      <sheetName val="Waterfall - Economics"/>
      <sheetName val="Comparison"/>
      <sheetName val="Sheet5"/>
    </sheetNames>
    <sheetDataSet>
      <sheetData sheetId="0" refreshError="1"/>
      <sheetData sheetId="1" refreshError="1"/>
      <sheetData sheetId="2">
        <row r="8">
          <cell r="C8">
            <v>8.3333112871613428E-3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9B15-F067-104C-A5BA-B5AD73C4EBA6}">
  <dimension ref="B1:M64"/>
  <sheetViews>
    <sheetView tabSelected="1" zoomScale="180" zoomScaleNormal="180" workbookViewId="0">
      <selection activeCell="I48" sqref="I48"/>
    </sheetView>
  </sheetViews>
  <sheetFormatPr baseColWidth="10" defaultRowHeight="16" x14ac:dyDescent="0.2"/>
  <cols>
    <col min="1" max="1" width="5" customWidth="1"/>
    <col min="2" max="2" width="36.33203125" customWidth="1"/>
    <col min="3" max="4" width="6.83203125" customWidth="1"/>
    <col min="5" max="5" width="12.83203125" bestFit="1" customWidth="1"/>
    <col min="10" max="10" width="5" customWidth="1"/>
    <col min="11" max="11" width="40.83203125" customWidth="1"/>
  </cols>
  <sheetData>
    <row r="1" spans="2:11" x14ac:dyDescent="0.2">
      <c r="B1" s="4" t="s">
        <v>23</v>
      </c>
    </row>
    <row r="2" spans="2:11" x14ac:dyDescent="0.2">
      <c r="B2" t="s">
        <v>11</v>
      </c>
      <c r="C2">
        <f>331627235/10^6</f>
        <v>331.62723499999998</v>
      </c>
      <c r="D2" s="12"/>
    </row>
    <row r="3" spans="2:11" x14ac:dyDescent="0.2">
      <c r="B3" t="s">
        <v>10</v>
      </c>
      <c r="C3">
        <f>(324141678+31956051)/10^6</f>
        <v>356.09772900000002</v>
      </c>
    </row>
    <row r="4" spans="2:11" x14ac:dyDescent="0.2">
      <c r="B4" t="s">
        <v>14</v>
      </c>
      <c r="C4">
        <v>54.031170069767398</v>
      </c>
      <c r="D4">
        <v>10</v>
      </c>
    </row>
    <row r="5" spans="2:11" x14ac:dyDescent="0.2">
      <c r="B5" t="s">
        <v>12</v>
      </c>
      <c r="C5" s="2">
        <f>6%*(C2/C3)</f>
        <v>5.5876891312609291E-2</v>
      </c>
    </row>
    <row r="6" spans="2:11" x14ac:dyDescent="0.2">
      <c r="B6" t="s">
        <v>13</v>
      </c>
      <c r="C6">
        <v>17.344000000000001</v>
      </c>
      <c r="D6">
        <v>7.31</v>
      </c>
    </row>
    <row r="7" spans="2:11" x14ac:dyDescent="0.2">
      <c r="B7" t="s">
        <v>27</v>
      </c>
      <c r="D7">
        <v>10</v>
      </c>
    </row>
    <row r="8" spans="2:11" x14ac:dyDescent="0.2">
      <c r="B8" t="s">
        <v>28</v>
      </c>
      <c r="D8" s="12">
        <v>0.1</v>
      </c>
    </row>
    <row r="11" spans="2:11" x14ac:dyDescent="0.2">
      <c r="B11" s="4" t="s">
        <v>25</v>
      </c>
    </row>
    <row r="12" spans="2:11" x14ac:dyDescent="0.2">
      <c r="B12" t="s">
        <v>29</v>
      </c>
      <c r="D12" s="12"/>
      <c r="E12" s="9">
        <f>$C$3</f>
        <v>356.09772900000002</v>
      </c>
      <c r="F12" s="9">
        <f>E12+(($D$8*F16*$D$7*10^6/F35)/10^6)</f>
        <v>374.7879921500637</v>
      </c>
      <c r="G12" s="9">
        <f>F12+(($D$8*G16*$D$7*10^6/G35)/10^6)</f>
        <v>402.50681948500534</v>
      </c>
      <c r="H12" s="9">
        <f>G12+(($D$8*H16*$D$7*10^6/H35)/10^6)</f>
        <v>431.03197827302859</v>
      </c>
      <c r="I12" s="9">
        <f>H12+(($D$8*I16*$D$7*10^6/I35)/10^6)</f>
        <v>459.56980693377841</v>
      </c>
    </row>
    <row r="13" spans="2:11" x14ac:dyDescent="0.2">
      <c r="B13" s="1" t="s">
        <v>5</v>
      </c>
      <c r="C13" s="1"/>
      <c r="D13" s="1"/>
      <c r="E13" s="1">
        <v>2025</v>
      </c>
      <c r="F13" s="1">
        <v>2026</v>
      </c>
      <c r="G13" s="1">
        <v>2027</v>
      </c>
      <c r="H13" s="1">
        <v>2028</v>
      </c>
      <c r="I13" s="1">
        <v>2029</v>
      </c>
      <c r="K13" s="4" t="s">
        <v>24</v>
      </c>
    </row>
    <row r="15" spans="2:11" x14ac:dyDescent="0.2">
      <c r="B15" t="s">
        <v>0</v>
      </c>
      <c r="E15" s="6">
        <v>0.06</v>
      </c>
      <c r="F15" s="6">
        <v>0.06</v>
      </c>
      <c r="G15" s="6">
        <v>0.06</v>
      </c>
      <c r="H15" s="6">
        <v>0.06</v>
      </c>
      <c r="I15" s="6">
        <v>0.06</v>
      </c>
    </row>
    <row r="16" spans="2:11" x14ac:dyDescent="0.2">
      <c r="B16" t="s">
        <v>1</v>
      </c>
      <c r="E16" s="5">
        <v>200</v>
      </c>
      <c r="F16" s="5">
        <v>250</v>
      </c>
      <c r="G16">
        <v>385</v>
      </c>
      <c r="H16">
        <v>435</v>
      </c>
      <c r="I16">
        <v>485</v>
      </c>
    </row>
    <row r="17" spans="2:12" x14ac:dyDescent="0.2">
      <c r="B17" t="s">
        <v>2</v>
      </c>
      <c r="E17" s="7">
        <v>5150</v>
      </c>
      <c r="F17" s="7">
        <f>E17*(1+F15)+F16</f>
        <v>5709</v>
      </c>
      <c r="G17" s="7">
        <f t="shared" ref="G17:I17" si="0">F17*(1+G15)+G16</f>
        <v>6436.54</v>
      </c>
      <c r="H17" s="7">
        <f t="shared" si="0"/>
        <v>7257.7323999999999</v>
      </c>
      <c r="I17" s="7">
        <f t="shared" si="0"/>
        <v>8178.196344</v>
      </c>
    </row>
    <row r="18" spans="2:12" x14ac:dyDescent="0.2">
      <c r="B18" t="s">
        <v>3</v>
      </c>
      <c r="E18" s="7">
        <v>450</v>
      </c>
      <c r="F18" s="7">
        <v>500</v>
      </c>
      <c r="G18" s="7">
        <v>550</v>
      </c>
      <c r="H18" s="7">
        <v>600</v>
      </c>
      <c r="I18" s="7">
        <v>650</v>
      </c>
    </row>
    <row r="19" spans="2:12" x14ac:dyDescent="0.2">
      <c r="B19" t="s">
        <v>4</v>
      </c>
      <c r="E19" s="6">
        <v>0.12</v>
      </c>
      <c r="F19" s="6">
        <v>0.12</v>
      </c>
      <c r="G19" s="6">
        <v>0.12</v>
      </c>
      <c r="H19" s="6">
        <v>0.12</v>
      </c>
      <c r="I19" s="6">
        <v>0.12</v>
      </c>
      <c r="L19" s="11"/>
    </row>
    <row r="21" spans="2:12" x14ac:dyDescent="0.2">
      <c r="B21" t="s">
        <v>7</v>
      </c>
      <c r="E21" s="3">
        <v>1780</v>
      </c>
      <c r="F21" s="3">
        <v>563.383728852633</v>
      </c>
      <c r="G21" s="3">
        <v>435.65791172056004</v>
      </c>
      <c r="H21" s="3">
        <v>270.89527343993905</v>
      </c>
      <c r="I21" s="3">
        <v>73.335709805473016</v>
      </c>
    </row>
    <row r="22" spans="2:12" x14ac:dyDescent="0.2">
      <c r="B22" t="s">
        <v>6</v>
      </c>
      <c r="E22" s="3">
        <v>554</v>
      </c>
      <c r="F22" s="3">
        <v>446.98124116545387</v>
      </c>
      <c r="G22" s="3">
        <v>496.54161172581041</v>
      </c>
      <c r="H22" s="3">
        <v>551.19575282736719</v>
      </c>
      <c r="I22" s="3">
        <v>440.02972686814451</v>
      </c>
    </row>
    <row r="24" spans="2:12" x14ac:dyDescent="0.2">
      <c r="B24" t="s">
        <v>22</v>
      </c>
      <c r="E24">
        <v>100</v>
      </c>
      <c r="F24">
        <v>75</v>
      </c>
      <c r="G24">
        <v>50</v>
      </c>
      <c r="H24">
        <v>50</v>
      </c>
      <c r="I24">
        <v>50</v>
      </c>
    </row>
    <row r="25" spans="2:12" x14ac:dyDescent="0.2">
      <c r="B25" t="s">
        <v>21</v>
      </c>
      <c r="C25">
        <v>15</v>
      </c>
      <c r="E25" s="3">
        <f>$C$25*(E18+E24)</f>
        <v>8250</v>
      </c>
      <c r="F25" s="3">
        <f>$C$25*(F18+F24)</f>
        <v>8625</v>
      </c>
      <c r="G25" s="3">
        <f>$C$25*(G18+G24)</f>
        <v>9000</v>
      </c>
      <c r="H25" s="3">
        <f>$C$25*(H18+H24)</f>
        <v>9750</v>
      </c>
      <c r="I25" s="3">
        <f>$C$25*(I18+I24)</f>
        <v>10500</v>
      </c>
    </row>
    <row r="26" spans="2:12" x14ac:dyDescent="0.2">
      <c r="B26" t="s">
        <v>8</v>
      </c>
      <c r="E26" s="3">
        <f>E25-(E21+E22)</f>
        <v>5916</v>
      </c>
      <c r="F26" s="3">
        <f>F25-(F21+F22)</f>
        <v>7614.6350299819132</v>
      </c>
      <c r="G26" s="3">
        <f>G25-(G21+G22)</f>
        <v>8067.8004765536298</v>
      </c>
      <c r="H26" s="3">
        <f>H25-(H21+H22)</f>
        <v>8927.908973732694</v>
      </c>
      <c r="I26" s="3">
        <f>I25-(I21+I22)</f>
        <v>9986.6345633263827</v>
      </c>
    </row>
    <row r="27" spans="2:12" x14ac:dyDescent="0.2">
      <c r="B27" t="s">
        <v>9</v>
      </c>
      <c r="C27" s="2">
        <f>(F27-E27)/E27</f>
        <v>9.6319444428502932E-2</v>
      </c>
      <c r="D27" s="2"/>
      <c r="E27" s="3">
        <f>1621769833.67/10^6</f>
        <v>1621.76983367</v>
      </c>
      <c r="F27" s="3">
        <f>1777977803.04/10^6</f>
        <v>1777.97780304</v>
      </c>
      <c r="G27" s="3">
        <f>F27*(1+$C$56)</f>
        <v>1949.2316372350231</v>
      </c>
      <c r="H27" s="3">
        <f>G27*(1+$C$56)</f>
        <v>2136.9805455959618</v>
      </c>
      <c r="I27" s="3">
        <f>H27*(1+$C$56)</f>
        <v>2342.8133245022836</v>
      </c>
    </row>
    <row r="28" spans="2:12" x14ac:dyDescent="0.2">
      <c r="B28" t="s">
        <v>15</v>
      </c>
      <c r="E28" s="10">
        <f>(E26-E27)/$C$3</f>
        <v>12.059133818092954</v>
      </c>
      <c r="F28" s="10">
        <f>(F26-F27)/$C$3</f>
        <v>16.390605026694548</v>
      </c>
      <c r="G28" s="10">
        <f>(G26-G27)/$C$3</f>
        <v>17.182274249546271</v>
      </c>
      <c r="H28" s="10">
        <f>(H26-H27)/$C$3</f>
        <v>19.070406450518902</v>
      </c>
      <c r="I28" s="10">
        <f>(I26-I27)/$C$3</f>
        <v>21.465515268209135</v>
      </c>
    </row>
    <row r="30" spans="2:12" ht="18" x14ac:dyDescent="0.2">
      <c r="B30" t="s">
        <v>16</v>
      </c>
      <c r="C30" s="8"/>
      <c r="D30" s="8"/>
      <c r="E30" s="10">
        <f>($C$5*E26)</f>
        <v>330.56768900539657</v>
      </c>
      <c r="F30" s="10">
        <f>($C$5*F26)</f>
        <v>425.48213395548674</v>
      </c>
      <c r="G30" s="10">
        <f>($C$5*G26)</f>
        <v>450.80361036020463</v>
      </c>
      <c r="H30" s="10">
        <f>($C$5*H26)</f>
        <v>498.86379937413091</v>
      </c>
      <c r="I30" s="10">
        <f>($C$5*I26)</f>
        <v>558.02209407373562</v>
      </c>
    </row>
    <row r="31" spans="2:12" x14ac:dyDescent="0.2">
      <c r="B31" t="s">
        <v>17</v>
      </c>
      <c r="E31" s="10">
        <f>((E26-E30+($C$4*$D$4))/($C$3+$C$4)-$D$4)*$C$4</f>
        <v>266.70559862046343</v>
      </c>
      <c r="F31" s="10">
        <f>((F26-F30+($C$4*$D$4))/($C$3+$C$4)-$D$4)*$C$4</f>
        <v>477.98283334051933</v>
      </c>
      <c r="G31" s="10">
        <f>((G26-G30+($C$4*$D$4))/($C$3+$C$4)-$D$4)*$C$4</f>
        <v>534.34782095258493</v>
      </c>
      <c r="H31" s="10">
        <f>((H26-H30+($C$4*$D$4))/($C$3+$C$4)-$D$4)*$C$4</f>
        <v>641.32862709147071</v>
      </c>
      <c r="I31" s="10">
        <f>((I26-I30+($C$4*$D$4))/($C$3+$C$4)-$D$4)*$C$4</f>
        <v>773.01354524548799</v>
      </c>
    </row>
    <row r="32" spans="2:12" x14ac:dyDescent="0.2">
      <c r="B32" t="s">
        <v>18</v>
      </c>
      <c r="E32" s="10">
        <f>((E26-E30+($C$6*$D$6))/($C$3+$C$4+$C$6)-$D$6)*$C$6</f>
        <v>104.97903674686404</v>
      </c>
      <c r="F32" s="10">
        <f>((F26-F30+($C$6*$D$6))/($C$3+$C$4+$C$6)-$D$6)*$C$6</f>
        <v>170.04732502273043</v>
      </c>
      <c r="G32" s="10">
        <f>((G26-G30+($C$6*$D$6))/($C$3+$C$4+$C$6)-$D$6)*$C$6</f>
        <v>187.40638061367991</v>
      </c>
      <c r="H32" s="10">
        <f>((H26-H30+($C$6*$D$6))/($C$3+$C$4+$C$6)-$D$6)*$C$6</f>
        <v>220.35388649642704</v>
      </c>
      <c r="I32" s="10">
        <f>((I26-I30+($C$6*$D$6))/($C$3+$C$4+$C$6)-$D$6)*$C$6</f>
        <v>260.90966254765578</v>
      </c>
    </row>
    <row r="34" spans="2:13" x14ac:dyDescent="0.2">
      <c r="B34" t="s">
        <v>19</v>
      </c>
      <c r="E34" s="10">
        <f>E26-(E27+E30+E31+E32)</f>
        <v>3591.9778419572758</v>
      </c>
      <c r="F34" s="10">
        <f t="shared" ref="F34:I34" si="1">F26-(F27+F30+F31+F32)</f>
        <v>4763.1449346231766</v>
      </c>
      <c r="G34" s="10">
        <f t="shared" si="1"/>
        <v>4946.0110273921373</v>
      </c>
      <c r="H34" s="10">
        <f t="shared" si="1"/>
        <v>5430.3821151747034</v>
      </c>
      <c r="I34" s="10">
        <f t="shared" si="1"/>
        <v>6051.8759369572199</v>
      </c>
    </row>
    <row r="35" spans="2:13" x14ac:dyDescent="0.2">
      <c r="B35" t="s">
        <v>20</v>
      </c>
      <c r="E35" s="10">
        <f>E34/$C$3</f>
        <v>10.087056303460098</v>
      </c>
      <c r="F35" s="10">
        <f>F34/$C$3</f>
        <v>13.375948641961646</v>
      </c>
      <c r="G35" s="10">
        <f t="shared" ref="G35" si="2">G34/$C$3</f>
        <v>13.889476468388645</v>
      </c>
      <c r="H35" s="10">
        <f t="shared" ref="H35" si="3">H34/$C$3</f>
        <v>15.249696004589524</v>
      </c>
      <c r="I35" s="10">
        <f t="shared" ref="I35" si="4">I34/$C$3</f>
        <v>16.99498605046487</v>
      </c>
    </row>
    <row r="36" spans="2:13" x14ac:dyDescent="0.2">
      <c r="E36" s="10"/>
      <c r="F36" s="10"/>
      <c r="G36" s="10"/>
      <c r="H36" s="10"/>
      <c r="I36" s="10"/>
    </row>
    <row r="37" spans="2:13" x14ac:dyDescent="0.2">
      <c r="E37" s="10"/>
      <c r="F37" s="10"/>
      <c r="G37" s="10"/>
      <c r="H37" s="10"/>
      <c r="I37" s="10"/>
    </row>
    <row r="38" spans="2:13" x14ac:dyDescent="0.2">
      <c r="E38" s="10"/>
      <c r="F38" s="10"/>
      <c r="G38" s="10"/>
      <c r="H38" s="10"/>
      <c r="I38" s="10"/>
    </row>
    <row r="39" spans="2:13" x14ac:dyDescent="0.2">
      <c r="M39">
        <f>'[1]MIP allocation'!$C$8</f>
        <v>8.3333112871613428E-3</v>
      </c>
    </row>
    <row r="40" spans="2:13" x14ac:dyDescent="0.2">
      <c r="B40" s="4" t="s">
        <v>26</v>
      </c>
    </row>
    <row r="42" spans="2:13" x14ac:dyDescent="0.2">
      <c r="B42" s="1" t="s">
        <v>5</v>
      </c>
      <c r="C42" s="1"/>
      <c r="D42" s="1"/>
      <c r="E42" s="1">
        <v>2025</v>
      </c>
      <c r="F42" s="1">
        <v>2026</v>
      </c>
      <c r="G42" s="1">
        <v>2027</v>
      </c>
      <c r="H42" s="1">
        <v>2028</v>
      </c>
      <c r="I42" s="1">
        <v>2029</v>
      </c>
    </row>
    <row r="43" spans="2:13" x14ac:dyDescent="0.2">
      <c r="B43" t="s">
        <v>29</v>
      </c>
      <c r="D43" s="12"/>
      <c r="E43" s="9">
        <f>$C$3</f>
        <v>356.09772900000002</v>
      </c>
      <c r="F43" s="9">
        <f>E43+(($D$8*F45*$D$7*10^6/F64)/10^6)</f>
        <v>374.7879921500637</v>
      </c>
      <c r="G43" s="9">
        <f t="shared" ref="G43:I43" si="5">F43+(($D$8*G45*$D$7*10^6/G64)/10^6)</f>
        <v>402.50681948500534</v>
      </c>
      <c r="H43" s="9">
        <f t="shared" si="5"/>
        <v>431.03197827302859</v>
      </c>
      <c r="I43" s="9">
        <f t="shared" si="5"/>
        <v>459.56980693377841</v>
      </c>
    </row>
    <row r="44" spans="2:13" x14ac:dyDescent="0.2">
      <c r="B44" t="s">
        <v>0</v>
      </c>
      <c r="E44" s="6">
        <v>0.06</v>
      </c>
      <c r="F44" s="6">
        <v>0.06</v>
      </c>
      <c r="G44" s="6">
        <v>0.06</v>
      </c>
      <c r="H44" s="6">
        <v>0.06</v>
      </c>
      <c r="I44" s="6">
        <v>0.06</v>
      </c>
    </row>
    <row r="45" spans="2:13" x14ac:dyDescent="0.2">
      <c r="B45" t="s">
        <v>1</v>
      </c>
      <c r="E45" s="5">
        <v>200</v>
      </c>
      <c r="F45" s="5">
        <v>250</v>
      </c>
      <c r="G45">
        <v>385</v>
      </c>
      <c r="H45">
        <v>435</v>
      </c>
      <c r="I45">
        <v>485</v>
      </c>
    </row>
    <row r="46" spans="2:13" x14ac:dyDescent="0.2">
      <c r="B46" t="s">
        <v>2</v>
      </c>
      <c r="E46" s="7">
        <v>5150</v>
      </c>
      <c r="F46" s="7">
        <f>E46*(1+F44)+F45</f>
        <v>5709</v>
      </c>
      <c r="G46" s="7">
        <f t="shared" ref="G46" si="6">F46*(1+G44)+G45</f>
        <v>6436.54</v>
      </c>
      <c r="H46" s="7">
        <f t="shared" ref="H46" si="7">G46*(1+H44)+H45</f>
        <v>7257.7323999999999</v>
      </c>
      <c r="I46" s="7">
        <f t="shared" ref="I46" si="8">H46*(1+I44)+I45</f>
        <v>8178.196344</v>
      </c>
    </row>
    <row r="47" spans="2:13" x14ac:dyDescent="0.2">
      <c r="B47" t="s">
        <v>3</v>
      </c>
      <c r="E47" s="7">
        <v>450</v>
      </c>
      <c r="F47" s="7">
        <v>500</v>
      </c>
      <c r="G47" s="7">
        <v>550</v>
      </c>
      <c r="H47" s="7">
        <v>600</v>
      </c>
      <c r="I47" s="7">
        <v>650</v>
      </c>
    </row>
    <row r="48" spans="2:13" x14ac:dyDescent="0.2">
      <c r="B48" t="s">
        <v>4</v>
      </c>
      <c r="E48" s="6">
        <v>0.12</v>
      </c>
      <c r="F48" s="6">
        <v>0.12</v>
      </c>
      <c r="G48" s="6">
        <v>0.12</v>
      </c>
      <c r="H48" s="6">
        <v>0.12</v>
      </c>
      <c r="I48" s="6">
        <v>0.12</v>
      </c>
    </row>
    <row r="50" spans="2:9" x14ac:dyDescent="0.2">
      <c r="B50" t="s">
        <v>7</v>
      </c>
      <c r="E50" s="3">
        <v>1780</v>
      </c>
      <c r="F50" s="3">
        <v>563.383728852633</v>
      </c>
      <c r="G50" s="3">
        <v>435.65791172056004</v>
      </c>
      <c r="H50" s="3">
        <v>270.89527343993905</v>
      </c>
      <c r="I50" s="3">
        <v>73.335709805473016</v>
      </c>
    </row>
    <row r="51" spans="2:9" x14ac:dyDescent="0.2">
      <c r="B51" t="s">
        <v>6</v>
      </c>
      <c r="E51" s="3">
        <v>554</v>
      </c>
      <c r="F51" s="3">
        <v>446.98124116545387</v>
      </c>
      <c r="G51" s="3">
        <v>496.54161172581041</v>
      </c>
      <c r="H51" s="3">
        <v>551.19575282736719</v>
      </c>
      <c r="I51" s="3">
        <v>440.02972686814451</v>
      </c>
    </row>
    <row r="53" spans="2:9" x14ac:dyDescent="0.2">
      <c r="B53" t="s">
        <v>22</v>
      </c>
      <c r="E53">
        <v>100</v>
      </c>
      <c r="F53">
        <v>75</v>
      </c>
      <c r="G53">
        <v>50</v>
      </c>
      <c r="H53">
        <v>50</v>
      </c>
      <c r="I53">
        <v>50</v>
      </c>
    </row>
    <row r="54" spans="2:9" x14ac:dyDescent="0.2">
      <c r="B54" t="s">
        <v>21</v>
      </c>
      <c r="C54">
        <v>15</v>
      </c>
      <c r="E54" s="3">
        <f>$C$25*(E47+E53)</f>
        <v>8250</v>
      </c>
      <c r="F54" s="3">
        <f>$C$25*(F47+F53)</f>
        <v>8625</v>
      </c>
      <c r="G54" s="3">
        <f>$C$25*(G47+G53)</f>
        <v>9000</v>
      </c>
      <c r="H54" s="3">
        <f>$C$25*(H47+H53)</f>
        <v>9750</v>
      </c>
      <c r="I54" s="3">
        <f>$C$25*(I47+I53)</f>
        <v>10500</v>
      </c>
    </row>
    <row r="55" spans="2:9" x14ac:dyDescent="0.2">
      <c r="B55" t="s">
        <v>8</v>
      </c>
      <c r="E55" s="3">
        <f>E54-(E50+E51)</f>
        <v>5916</v>
      </c>
      <c r="F55" s="3">
        <f>F54-(F50+F51)</f>
        <v>7614.6350299819132</v>
      </c>
      <c r="G55" s="3">
        <f>G54-(G50+G51)</f>
        <v>8067.8004765536298</v>
      </c>
      <c r="H55" s="3">
        <f>H54-(H50+H51)</f>
        <v>8927.908973732694</v>
      </c>
      <c r="I55" s="3">
        <f>I54-(I50+I51)</f>
        <v>9986.6345633263827</v>
      </c>
    </row>
    <row r="56" spans="2:9" x14ac:dyDescent="0.2">
      <c r="B56" t="s">
        <v>9</v>
      </c>
      <c r="C56" s="2">
        <f>(F56-E56)/E56</f>
        <v>9.6319444428502932E-2</v>
      </c>
      <c r="D56" s="2"/>
      <c r="E56" s="3">
        <f>1621769833.67/10^6</f>
        <v>1621.76983367</v>
      </c>
      <c r="F56" s="3">
        <f>1777977803.04/10^6</f>
        <v>1777.97780304</v>
      </c>
      <c r="G56" s="3">
        <f>F56*(1+$C$56)</f>
        <v>1949.2316372350231</v>
      </c>
      <c r="H56" s="3">
        <f>G56*(1+$C$56)</f>
        <v>2136.9805455959618</v>
      </c>
      <c r="I56" s="3">
        <f>H56*(1+$C$56)</f>
        <v>2342.8133245022836</v>
      </c>
    </row>
    <row r="57" spans="2:9" x14ac:dyDescent="0.2">
      <c r="B57" t="s">
        <v>15</v>
      </c>
      <c r="E57" s="10">
        <f>(E55-E56)/$C$3</f>
        <v>12.059133818092954</v>
      </c>
      <c r="F57" s="10">
        <f>(F55-F56)/$C$3</f>
        <v>16.390605026694548</v>
      </c>
      <c r="G57" s="10">
        <f>(G55-G56)/$C$3</f>
        <v>17.182274249546271</v>
      </c>
      <c r="H57" s="10">
        <f>(H55-H56)/$C$3</f>
        <v>19.070406450518902</v>
      </c>
      <c r="I57" s="10">
        <f>(I55-I56)/$C$3</f>
        <v>21.465515268209135</v>
      </c>
    </row>
    <row r="59" spans="2:9" ht="18" x14ac:dyDescent="0.2">
      <c r="B59" t="s">
        <v>16</v>
      </c>
      <c r="C59" s="8"/>
      <c r="D59" s="8"/>
      <c r="E59" s="10">
        <f>($C$5*E55)</f>
        <v>330.56768900539657</v>
      </c>
      <c r="F59" s="10">
        <f>($C$5*F55)</f>
        <v>425.48213395548674</v>
      </c>
      <c r="G59" s="10">
        <f>($C$5*G55)</f>
        <v>450.80361036020463</v>
      </c>
      <c r="H59" s="10">
        <f>($C$5*H55)</f>
        <v>498.86379937413091</v>
      </c>
      <c r="I59" s="10">
        <f>($C$5*I55)</f>
        <v>558.02209407373562</v>
      </c>
    </row>
    <row r="60" spans="2:9" x14ac:dyDescent="0.2">
      <c r="B60" t="s">
        <v>17</v>
      </c>
      <c r="E60" s="10">
        <f>((E55-E59+($C$4*$D$4))/($C$3+$C$4)-$D$4)*$C$4</f>
        <v>266.70559862046343</v>
      </c>
      <c r="F60" s="10">
        <f>((F55-F59+($C$4*$D$4))/($C$3+$C$4)-$D$4)*$C$4</f>
        <v>477.98283334051933</v>
      </c>
      <c r="G60" s="10">
        <f>((G55-G59+($C$4*$D$4))/($C$3+$C$4)-$D$4)*$C$4</f>
        <v>534.34782095258493</v>
      </c>
      <c r="H60" s="10">
        <f>((H55-H59+($C$4*$D$4))/($C$3+$C$4)-$D$4)*$C$4</f>
        <v>641.32862709147071</v>
      </c>
      <c r="I60" s="10">
        <f>((I55-I59+($C$4*$D$4))/($C$3+$C$4)-$D$4)*$C$4</f>
        <v>773.01354524548799</v>
      </c>
    </row>
    <row r="61" spans="2:9" x14ac:dyDescent="0.2">
      <c r="B61" t="s">
        <v>18</v>
      </c>
      <c r="E61" s="10">
        <f>((E55-E59+($C$6*$D$6))/($C$3+$C$4+$C$6)-$D$6)*$C$6</f>
        <v>104.97903674686404</v>
      </c>
      <c r="F61" s="10">
        <f>((F55-F59+($C$6*$D$6))/($C$3+$C$4+$C$6)-$D$6)*$C$6</f>
        <v>170.04732502273043</v>
      </c>
      <c r="G61" s="10">
        <f>((G55-G59+($C$6*$D$6))/($C$3+$C$4+$C$6)-$D$6)*$C$6</f>
        <v>187.40638061367991</v>
      </c>
      <c r="H61" s="10">
        <f>((H55-H59+($C$6*$D$6))/($C$3+$C$4+$C$6)-$D$6)*$C$6</f>
        <v>220.35388649642704</v>
      </c>
      <c r="I61" s="10">
        <f>((I55-I59+($C$6*$D$6))/($C$3+$C$4+$C$6)-$D$6)*$C$6</f>
        <v>260.90966254765578</v>
      </c>
    </row>
    <row r="63" spans="2:9" x14ac:dyDescent="0.2">
      <c r="B63" t="s">
        <v>19</v>
      </c>
      <c r="E63" s="10">
        <f>E55-(E56+E59+E60+E61)</f>
        <v>3591.9778419572758</v>
      </c>
      <c r="F63" s="10">
        <f t="shared" ref="F63:I63" si="9">F55-(F56+F59+F60+F61)</f>
        <v>4763.1449346231766</v>
      </c>
      <c r="G63" s="10">
        <f t="shared" si="9"/>
        <v>4946.0110273921373</v>
      </c>
      <c r="H63" s="10">
        <f t="shared" si="9"/>
        <v>5430.3821151747034</v>
      </c>
      <c r="I63" s="10">
        <f t="shared" si="9"/>
        <v>6051.8759369572199</v>
      </c>
    </row>
    <row r="64" spans="2:9" x14ac:dyDescent="0.2">
      <c r="B64" t="s">
        <v>20</v>
      </c>
      <c r="E64" s="10">
        <f>E63/$C$3</f>
        <v>10.087056303460098</v>
      </c>
      <c r="F64" s="10">
        <f>F63/$C$3</f>
        <v>13.375948641961646</v>
      </c>
      <c r="G64" s="10">
        <f t="shared" ref="G64" si="10">G63/$C$3</f>
        <v>13.889476468388645</v>
      </c>
      <c r="H64" s="10">
        <f t="shared" ref="H64" si="11">H63/$C$3</f>
        <v>15.249696004589524</v>
      </c>
      <c r="I64" s="10">
        <f t="shared" ref="I64" si="12">I63/$C$3</f>
        <v>16.99498605046487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Fasting</dc:creator>
  <cp:lastModifiedBy>Microsoft Office-bruker</cp:lastModifiedBy>
  <dcterms:created xsi:type="dcterms:W3CDTF">2026-02-20T10:45:33Z</dcterms:created>
  <dcterms:modified xsi:type="dcterms:W3CDTF">2026-02-24T13:28:26Z</dcterms:modified>
</cp:coreProperties>
</file>