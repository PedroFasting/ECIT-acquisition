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itas-my.sharepoint.com/personal/pedro_fasting_ecit_com/Documents/ECIT - Generelt/"/>
    </mc:Choice>
  </mc:AlternateContent>
  <xr:revisionPtr revIDLastSave="32" documentId="8_{E68AF30A-EF48-2940-B479-ADC7171B0109}" xr6:coauthVersionLast="47" xr6:coauthVersionMax="47" xr10:uidLastSave="{9CB021FB-2F1B-2246-859C-0048C61143E5}"/>
  <bookViews>
    <workbookView xWindow="0" yWindow="660" windowWidth="29280" windowHeight="18620" xr2:uid="{C85487CC-B359-442E-93EA-EA28B650DD5A}"/>
  </bookViews>
  <sheets>
    <sheet name="Ark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H14" i="1"/>
  <c r="Q14" i="1"/>
  <c r="G21" i="1"/>
  <c r="H9" i="1"/>
  <c r="G8" i="1"/>
  <c r="U14" i="1"/>
  <c r="T14" i="1"/>
  <c r="S14" i="1"/>
  <c r="R14" i="1"/>
  <c r="G20" i="1"/>
  <c r="G15" i="1"/>
  <c r="L11" i="1"/>
  <c r="K11" i="1"/>
  <c r="J11" i="1"/>
  <c r="I11" i="1"/>
  <c r="H11" i="1"/>
  <c r="I9" i="1" l="1"/>
  <c r="J9" i="1"/>
  <c r="H4" i="1"/>
  <c r="H12" i="1"/>
  <c r="L9" i="1"/>
  <c r="K9" i="1"/>
  <c r="H15" i="1"/>
  <c r="I15" i="1" s="1"/>
  <c r="J15" i="1" s="1"/>
  <c r="K15" i="1" s="1"/>
  <c r="L15" i="1" s="1"/>
  <c r="M15" i="1" s="1"/>
  <c r="L13" i="1"/>
  <c r="K13" i="1"/>
  <c r="J13" i="1"/>
  <c r="I13" i="1"/>
  <c r="H13" i="1"/>
  <c r="G7" i="1"/>
  <c r="G6" i="1"/>
  <c r="H6" i="1" l="1"/>
  <c r="I6" i="1" s="1"/>
  <c r="J6" i="1" s="1"/>
  <c r="K6" i="1" s="1"/>
  <c r="L6" i="1" s="1"/>
  <c r="H8" i="1"/>
  <c r="I8" i="1" l="1"/>
  <c r="J8" i="1" s="1"/>
  <c r="K8" i="1" s="1"/>
  <c r="L8" i="1" s="1"/>
  <c r="G19" i="1"/>
  <c r="G22" i="1" s="1"/>
  <c r="I4" i="1"/>
  <c r="J4" i="1" s="1"/>
  <c r="K4" i="1" s="1"/>
  <c r="L4" i="1" s="1"/>
  <c r="H7" i="1" l="1"/>
  <c r="G23" i="1" l="1"/>
  <c r="I7" i="1"/>
  <c r="J7" i="1"/>
  <c r="H16" i="1" l="1"/>
  <c r="J14" i="1"/>
  <c r="I14" i="1"/>
  <c r="K7" i="1"/>
  <c r="K14" i="1" l="1"/>
  <c r="J16" i="1"/>
  <c r="I16" i="1"/>
  <c r="L7" i="1"/>
  <c r="L14" i="1" l="1"/>
  <c r="K16" i="1"/>
  <c r="M14" i="1" l="1"/>
  <c r="M16" i="1" s="1"/>
  <c r="L19" i="1" s="1"/>
  <c r="L16" i="1"/>
  <c r="L18" i="1" s="1"/>
  <c r="L20" i="1" l="1"/>
  <c r="G18" i="1"/>
  <c r="L22" i="1" s="1"/>
</calcChain>
</file>

<file path=xl/sharedStrings.xml><?xml version="1.0" encoding="utf-8"?>
<sst xmlns="http://schemas.openxmlformats.org/spreadsheetml/2006/main" count="36" uniqueCount="34">
  <si>
    <t>Oms</t>
  </si>
  <si>
    <t>EBITDA</t>
  </si>
  <si>
    <t>EBITDA%</t>
  </si>
  <si>
    <t>Skat</t>
  </si>
  <si>
    <t>EBITDA år 0</t>
  </si>
  <si>
    <t>WACC</t>
  </si>
  <si>
    <t>Revenue</t>
  </si>
  <si>
    <t>Tax</t>
  </si>
  <si>
    <t>Free cashflow</t>
  </si>
  <si>
    <t>Investments</t>
  </si>
  <si>
    <t>Vækst i terminalperiode</t>
  </si>
  <si>
    <t>Terminal</t>
  </si>
  <si>
    <t>Disc cashflow</t>
  </si>
  <si>
    <t>NPV cashflow</t>
  </si>
  <si>
    <t>Price paid</t>
  </si>
  <si>
    <t>Excess value</t>
  </si>
  <si>
    <t>P/S</t>
  </si>
  <si>
    <t>P/S next year</t>
  </si>
  <si>
    <t>P/EBITDA next year</t>
  </si>
  <si>
    <t>Growth%</t>
  </si>
  <si>
    <t>Disc factor</t>
  </si>
  <si>
    <t>Quick and Dirty DCF</t>
  </si>
  <si>
    <t>Start up investment</t>
  </si>
  <si>
    <t>Cashflow from budget period</t>
  </si>
  <si>
    <t>Cashflow from Terminal period</t>
  </si>
  <si>
    <t>% of terminal value needed</t>
  </si>
  <si>
    <t>Investment / Growth effect NWC</t>
  </si>
  <si>
    <t>Revenue år 0</t>
  </si>
  <si>
    <t>EBITDA lift p.a.</t>
  </si>
  <si>
    <t>Growth</t>
  </si>
  <si>
    <t>Tax rate</t>
  </si>
  <si>
    <t>Approx</t>
  </si>
  <si>
    <t>Start up investment / NIBD in target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</si>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</sst>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9" fontId="0" fillId="0" borderId="0" xfId="0" applyNumberFormat="1"/>
    <xf numFmtId="0" fontId="0" fillId="2" borderId="0" xfId="0" applyFill="1"/>
    <xf numFmtId="9" fontId="0" fillId="2" borderId="0" xfId="0" applyNumberFormat="1" applyFill="1"/>
    <xf numFmtId="10" fontId="0" fillId="2" borderId="0" xfId="0" applyNumberFormat="1" applyFill="1"/>
    <xf numFmtId="0" fontId="1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165" fontId="0" fillId="0" borderId="0" xfId="0" applyNumberFormat="1"/>
    <xf numFmtId="9" fontId="0" fillId="0" borderId="5" xfId="0" applyNumberFormat="1" applyBorder="1"/>
    <xf numFmtId="9" fontId="0" fillId="0" borderId="4" xfId="0" applyNumberFormat="1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4" fontId="0" fillId="2" borderId="0" xfId="0" applyNumberFormat="1" applyFill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9" fontId="0" fillId="0" borderId="3" xfId="0" applyNumberFormat="1" applyBorder="1"/>
    <xf numFmtId="4" fontId="0" fillId="0" borderId="0" xfId="0" applyNumberFormat="1"/>
    <xf numFmtId="0" fontId="0" fillId="0" borderId="9" xfId="0" applyBorder="1"/>
    <xf numFmtId="0" fontId="0" fillId="0" borderId="10" xfId="0" applyBorder="1"/>
    <xf numFmtId="165" fontId="0" fillId="0" borderId="10" xfId="0" applyNumberFormat="1" applyBorder="1"/>
    <xf numFmtId="164" fontId="0" fillId="0" borderId="10" xfId="0" applyNumberForma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5C03BD-DDE9-6949-9164-76C3754213F1}">
  <we:reference id="wa200009404" version="1.0.0.5" store="nb-NO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D459-2D22-449F-BA6B-D3E148C77196}">
  <dimension ref="B1:U23"/>
  <sheetViews>
    <sheetView tabSelected="1" topLeftCell="C1" zoomScale="145" zoomScaleNormal="145" workbookViewId="0">
      <selection activeCell="G26" sqref="G26"/>
    </sheetView>
  </sheetViews>
  <sheetFormatPr baseColWidth="10" defaultColWidth="8.83203125" defaultRowHeight="15" x14ac:dyDescent="0.2"/>
  <cols>
    <col min="2" max="2" width="41.33203125" customWidth="1"/>
    <col min="3" max="3" width="10.6640625" bestFit="1" customWidth="1"/>
    <col min="16" max="21" width="8.83203125" customWidth="1"/>
  </cols>
  <sheetData>
    <row r="1" spans="2:21" x14ac:dyDescent="0.2">
      <c r="B1" s="6" t="s">
        <v>21</v>
      </c>
    </row>
    <row r="3" spans="2:21" ht="16" thickBot="1" x14ac:dyDescent="0.25"/>
    <row r="4" spans="2:21" x14ac:dyDescent="0.2">
      <c r="B4" t="s">
        <v>29</v>
      </c>
      <c r="C4" s="4">
        <v>0.1</v>
      </c>
      <c r="E4" s="7"/>
      <c r="F4" s="8"/>
      <c r="G4" s="8">
        <v>2024</v>
      </c>
      <c r="H4" s="8">
        <f>+G4+1</f>
        <v>2025</v>
      </c>
      <c r="I4" s="8">
        <f>+H4+1</f>
        <v>2026</v>
      </c>
      <c r="J4" s="8">
        <f t="shared" ref="J4:L4" si="0">+I4+1</f>
        <v>2027</v>
      </c>
      <c r="K4" s="8">
        <f t="shared" si="0"/>
        <v>2028</v>
      </c>
      <c r="L4" s="8">
        <f t="shared" si="0"/>
        <v>2029</v>
      </c>
      <c r="M4" s="9" t="s">
        <v>11</v>
      </c>
    </row>
    <row r="5" spans="2:21" x14ac:dyDescent="0.2">
      <c r="B5" t="s">
        <v>28</v>
      </c>
      <c r="C5" s="5">
        <v>5.0000000000000001E-3</v>
      </c>
      <c r="E5" s="10"/>
      <c r="M5" s="11"/>
    </row>
    <row r="6" spans="2:21" x14ac:dyDescent="0.2">
      <c r="E6" s="10" t="s">
        <v>6</v>
      </c>
      <c r="G6" s="1">
        <f>+C7</f>
        <v>1400</v>
      </c>
      <c r="H6" s="1">
        <f>+G6*(1+H$9)</f>
        <v>1540.0000000000002</v>
      </c>
      <c r="I6" s="1">
        <f t="shared" ref="I6:L6" si="1">+H6*(1+I$9)</f>
        <v>1694.0000000000005</v>
      </c>
      <c r="J6" s="1">
        <f t="shared" si="1"/>
        <v>1863.4000000000005</v>
      </c>
      <c r="K6" s="1">
        <f t="shared" si="1"/>
        <v>2049.7400000000007</v>
      </c>
      <c r="L6" s="1">
        <f t="shared" si="1"/>
        <v>2254.7140000000009</v>
      </c>
      <c r="M6" s="12"/>
    </row>
    <row r="7" spans="2:21" x14ac:dyDescent="0.2">
      <c r="B7" t="s">
        <v>27</v>
      </c>
      <c r="C7" s="3">
        <v>1400</v>
      </c>
      <c r="E7" s="10" t="s">
        <v>1</v>
      </c>
      <c r="G7" s="1">
        <f>+C8</f>
        <v>160</v>
      </c>
      <c r="H7" s="1">
        <f>+H6*H8</f>
        <v>183.70000000000002</v>
      </c>
      <c r="I7" s="1">
        <f t="shared" ref="I7:L7" si="2">+I6*I8</f>
        <v>210.54000000000008</v>
      </c>
      <c r="J7" s="1">
        <f t="shared" si="2"/>
        <v>240.91100000000006</v>
      </c>
      <c r="K7" s="1">
        <f t="shared" si="2"/>
        <v>275.25080000000008</v>
      </c>
      <c r="L7" s="1">
        <f t="shared" si="2"/>
        <v>314.04945000000015</v>
      </c>
      <c r="M7" s="12"/>
      <c r="N7" s="1"/>
      <c r="O7" s="1"/>
      <c r="P7" s="1"/>
      <c r="Q7" s="1"/>
      <c r="S7" t="s">
        <v>0</v>
      </c>
    </row>
    <row r="8" spans="2:21" x14ac:dyDescent="0.2">
      <c r="B8" t="s">
        <v>4</v>
      </c>
      <c r="C8" s="3">
        <v>160</v>
      </c>
      <c r="E8" s="10" t="s">
        <v>2</v>
      </c>
      <c r="G8" s="13">
        <f>+G7/G6</f>
        <v>0.11428571428571428</v>
      </c>
      <c r="H8" s="13">
        <f>+G8+$C$5</f>
        <v>0.11928571428571429</v>
      </c>
      <c r="I8" s="13">
        <f t="shared" ref="I8:L8" si="3">+H8+$C$5</f>
        <v>0.12428571428571429</v>
      </c>
      <c r="J8" s="13">
        <f t="shared" si="3"/>
        <v>0.12928571428571428</v>
      </c>
      <c r="K8" s="13">
        <f t="shared" si="3"/>
        <v>0.13428571428571429</v>
      </c>
      <c r="L8" s="13">
        <f t="shared" si="3"/>
        <v>0.13928571428571429</v>
      </c>
      <c r="M8" s="14"/>
      <c r="N8" s="1"/>
      <c r="O8" s="1"/>
      <c r="P8" s="1"/>
      <c r="Q8" s="1"/>
      <c r="S8" t="s">
        <v>1</v>
      </c>
    </row>
    <row r="9" spans="2:21" x14ac:dyDescent="0.2">
      <c r="E9" s="10" t="s">
        <v>19</v>
      </c>
      <c r="G9" s="13"/>
      <c r="H9" s="13">
        <f>+$C$4</f>
        <v>0.1</v>
      </c>
      <c r="I9" s="13">
        <f>+$C$4</f>
        <v>0.1</v>
      </c>
      <c r="J9" s="13">
        <f t="shared" ref="J9:L9" si="4">+$C$4</f>
        <v>0.1</v>
      </c>
      <c r="K9" s="13">
        <f t="shared" si="4"/>
        <v>0.1</v>
      </c>
      <c r="L9" s="13">
        <f t="shared" si="4"/>
        <v>0.1</v>
      </c>
      <c r="M9" s="14"/>
      <c r="N9" s="2"/>
      <c r="O9" s="2"/>
      <c r="P9" s="2"/>
      <c r="Q9" s="2"/>
      <c r="S9" t="s">
        <v>2</v>
      </c>
    </row>
    <row r="10" spans="2:21" x14ac:dyDescent="0.2">
      <c r="B10" t="s">
        <v>26</v>
      </c>
      <c r="C10" s="3">
        <v>20</v>
      </c>
      <c r="E10" s="10"/>
      <c r="I10" s="2"/>
      <c r="J10" s="2"/>
      <c r="K10" s="2"/>
      <c r="L10" s="2"/>
      <c r="M10" s="14"/>
      <c r="N10" s="2"/>
      <c r="O10" s="2"/>
      <c r="P10" s="2"/>
      <c r="Q10" s="2"/>
    </row>
    <row r="11" spans="2:21" x14ac:dyDescent="0.2">
      <c r="B11" t="s">
        <v>32</v>
      </c>
      <c r="C11" s="3">
        <v>-30</v>
      </c>
      <c r="E11" s="15" t="s">
        <v>7</v>
      </c>
      <c r="F11" s="2"/>
      <c r="H11" s="1">
        <f>-H7*$C$13</f>
        <v>-36.74</v>
      </c>
      <c r="I11" s="1">
        <f t="shared" ref="I11:L11" si="5">-I7*$C$13</f>
        <v>-42.108000000000018</v>
      </c>
      <c r="J11" s="1">
        <f t="shared" si="5"/>
        <v>-48.182200000000016</v>
      </c>
      <c r="K11" s="1">
        <f t="shared" si="5"/>
        <v>-55.05016000000002</v>
      </c>
      <c r="L11" s="1">
        <f t="shared" si="5"/>
        <v>-62.809890000000031</v>
      </c>
      <c r="M11" s="12"/>
      <c r="N11" s="2" t="s">
        <v>31</v>
      </c>
      <c r="O11" s="2"/>
      <c r="P11" s="2"/>
      <c r="Q11" s="2"/>
    </row>
    <row r="12" spans="2:21" x14ac:dyDescent="0.2">
      <c r="E12" s="15" t="s">
        <v>22</v>
      </c>
      <c r="F12" s="2"/>
      <c r="H12" s="1">
        <f>-C11</f>
        <v>30</v>
      </c>
      <c r="I12" s="1"/>
      <c r="J12" s="1"/>
      <c r="K12" s="1"/>
      <c r="L12" s="1"/>
      <c r="M12" s="12"/>
      <c r="N12" s="2"/>
      <c r="O12" s="2"/>
      <c r="P12" s="2"/>
      <c r="Q12" s="2"/>
    </row>
    <row r="13" spans="2:21" x14ac:dyDescent="0.2">
      <c r="B13" t="s">
        <v>30</v>
      </c>
      <c r="C13" s="4">
        <v>0.2</v>
      </c>
      <c r="D13" s="2"/>
      <c r="E13" s="15" t="s">
        <v>9</v>
      </c>
      <c r="F13" s="2"/>
      <c r="H13" s="1">
        <f>-$C$10</f>
        <v>-20</v>
      </c>
      <c r="I13" s="1">
        <f t="shared" ref="I13:L13" si="6">-$C$10</f>
        <v>-20</v>
      </c>
      <c r="J13" s="1">
        <f t="shared" si="6"/>
        <v>-20</v>
      </c>
      <c r="K13" s="1">
        <f t="shared" si="6"/>
        <v>-20</v>
      </c>
      <c r="L13" s="1">
        <f t="shared" si="6"/>
        <v>-20</v>
      </c>
      <c r="M13" s="12"/>
      <c r="N13" s="1"/>
      <c r="O13" s="1"/>
      <c r="P13" s="1"/>
      <c r="Q13" s="1"/>
      <c r="S13" t="s">
        <v>3</v>
      </c>
    </row>
    <row r="14" spans="2:21" x14ac:dyDescent="0.2">
      <c r="B14" t="s">
        <v>5</v>
      </c>
      <c r="C14" s="4">
        <v>0.1</v>
      </c>
      <c r="E14" s="10" t="s">
        <v>8</v>
      </c>
      <c r="H14" s="1">
        <f>+H7+H11+H13+H12</f>
        <v>156.96</v>
      </c>
      <c r="I14" s="1">
        <f t="shared" ref="I14:L14" si="7">+I7+I11+I13</f>
        <v>148.43200000000007</v>
      </c>
      <c r="J14" s="1">
        <f t="shared" si="7"/>
        <v>172.72880000000004</v>
      </c>
      <c r="K14" s="1">
        <f t="shared" si="7"/>
        <v>200.20064000000008</v>
      </c>
      <c r="L14" s="1">
        <f t="shared" si="7"/>
        <v>231.23956000000013</v>
      </c>
      <c r="M14" s="12">
        <f>+L14/(C14-C16)</f>
        <v>2569.3284444444457</v>
      </c>
      <c r="N14" s="1"/>
      <c r="O14" s="1"/>
      <c r="P14" s="1">
        <f>-G19</f>
        <v>-924</v>
      </c>
      <c r="Q14" s="1">
        <f>H14</f>
        <v>156.96</v>
      </c>
      <c r="R14">
        <f>I14</f>
        <v>148.43200000000007</v>
      </c>
      <c r="S14">
        <f>J14</f>
        <v>172.72880000000004</v>
      </c>
      <c r="T14">
        <f>K14</f>
        <v>200.20064000000008</v>
      </c>
      <c r="U14" s="1">
        <f>L14+M14</f>
        <v>2800.5680044444457</v>
      </c>
    </row>
    <row r="15" spans="2:21" x14ac:dyDescent="0.2">
      <c r="D15" s="2"/>
      <c r="E15" s="15" t="s">
        <v>20</v>
      </c>
      <c r="F15" s="2"/>
      <c r="G15" s="2">
        <f>1+C14</f>
        <v>1.1000000000000001</v>
      </c>
      <c r="H15" s="2">
        <f>1+C14</f>
        <v>1.1000000000000001</v>
      </c>
      <c r="I15" s="2">
        <f>+H15*(1+$C$14)</f>
        <v>1.2100000000000002</v>
      </c>
      <c r="J15" s="2">
        <f t="shared" ref="J15:L15" si="8">+I15*(1+$C$14)</f>
        <v>1.3310000000000004</v>
      </c>
      <c r="K15" s="2">
        <f t="shared" si="8"/>
        <v>1.4641000000000006</v>
      </c>
      <c r="L15" s="2">
        <f t="shared" si="8"/>
        <v>1.6105100000000008</v>
      </c>
      <c r="M15" s="14">
        <f>+L15</f>
        <v>1.6105100000000008</v>
      </c>
      <c r="N15" s="2"/>
      <c r="O15" s="2"/>
      <c r="P15" s="2"/>
      <c r="Q15" s="2"/>
    </row>
    <row r="16" spans="2:21" x14ac:dyDescent="0.2">
      <c r="B16" t="s">
        <v>10</v>
      </c>
      <c r="C16" s="4">
        <v>0.01</v>
      </c>
      <c r="E16" s="10" t="s">
        <v>12</v>
      </c>
      <c r="H16" s="1">
        <f t="shared" ref="H16:K16" si="9">+H14/H15</f>
        <v>142.69090909090909</v>
      </c>
      <c r="I16" s="1">
        <f t="shared" si="9"/>
        <v>122.67107438016534</v>
      </c>
      <c r="J16" s="1">
        <f t="shared" si="9"/>
        <v>129.77370398196842</v>
      </c>
      <c r="K16" s="1">
        <f t="shared" si="9"/>
        <v>136.73973089269859</v>
      </c>
      <c r="L16" s="1">
        <f>+L14/L15</f>
        <v>143.58157353881691</v>
      </c>
      <c r="M16" s="12">
        <f>+M14/M15</f>
        <v>1595.3508170979655</v>
      </c>
      <c r="N16" s="1"/>
      <c r="O16" s="1"/>
      <c r="P16" s="1"/>
      <c r="Q16" s="1"/>
    </row>
    <row r="17" spans="2:17" ht="16" thickBot="1" x14ac:dyDescent="0.25">
      <c r="E17" s="10"/>
      <c r="L17" s="1"/>
      <c r="M17" s="12"/>
      <c r="N17" s="1"/>
      <c r="O17" s="1"/>
      <c r="P17" s="1"/>
      <c r="Q17" s="1"/>
    </row>
    <row r="18" spans="2:17" x14ac:dyDescent="0.2">
      <c r="B18" t="s">
        <v>16</v>
      </c>
      <c r="C18" s="20">
        <v>0.66</v>
      </c>
      <c r="E18" s="21" t="s">
        <v>13</v>
      </c>
      <c r="F18" s="22"/>
      <c r="G18" s="23">
        <f>+SUM(H16:M16)</f>
        <v>2270.807808982524</v>
      </c>
      <c r="H18" s="22"/>
      <c r="I18" s="22" t="s">
        <v>23</v>
      </c>
      <c r="J18" s="22"/>
      <c r="K18" s="22"/>
      <c r="L18" s="23">
        <f>+SUM(H16:L16)</f>
        <v>675.45699188455831</v>
      </c>
      <c r="M18" s="24"/>
    </row>
    <row r="19" spans="2:17" x14ac:dyDescent="0.2">
      <c r="E19" s="10" t="s">
        <v>14</v>
      </c>
      <c r="G19" s="1">
        <f>+C7*C18</f>
        <v>924</v>
      </c>
      <c r="I19" t="s">
        <v>24</v>
      </c>
      <c r="L19" s="1">
        <f>+M16</f>
        <v>1595.3508170979655</v>
      </c>
      <c r="M19" s="11"/>
    </row>
    <row r="20" spans="2:17" x14ac:dyDescent="0.2">
      <c r="E20" s="10" t="s">
        <v>15</v>
      </c>
      <c r="G20" s="1">
        <f>+G18-G19</f>
        <v>1346.807808982524</v>
      </c>
      <c r="L20" s="1">
        <f>+L18+L19</f>
        <v>2270.807808982524</v>
      </c>
      <c r="M20" s="11"/>
    </row>
    <row r="21" spans="2:17" ht="16" thickBot="1" x14ac:dyDescent="0.25">
      <c r="E21" s="26" t="s">
        <v>33</v>
      </c>
      <c r="F21" s="27"/>
      <c r="G21" s="28">
        <f>IRR(P14:U14)</f>
        <v>0.36028785840771604</v>
      </c>
      <c r="H21" s="27"/>
      <c r="I21" s="27"/>
      <c r="J21" s="27"/>
      <c r="K21" s="27"/>
      <c r="L21" s="29"/>
      <c r="M21" s="30"/>
    </row>
    <row r="22" spans="2:17" x14ac:dyDescent="0.2">
      <c r="E22" s="10" t="s">
        <v>17</v>
      </c>
      <c r="G22" s="25">
        <f>+G19/H6</f>
        <v>0.59999999999999987</v>
      </c>
      <c r="I22" t="s">
        <v>25</v>
      </c>
      <c r="L22" s="2">
        <f>+(L19-G20)/L19</f>
        <v>0.1557920712182638</v>
      </c>
      <c r="M22" s="11"/>
    </row>
    <row r="23" spans="2:17" ht="16" thickBot="1" x14ac:dyDescent="0.25">
      <c r="E23" s="16" t="s">
        <v>18</v>
      </c>
      <c r="F23" s="17"/>
      <c r="G23" s="18">
        <f>+G19/H7</f>
        <v>5.0299401197604787</v>
      </c>
      <c r="H23" s="17"/>
      <c r="I23" s="17"/>
      <c r="J23" s="17"/>
      <c r="K23" s="17"/>
      <c r="L23" s="17"/>
      <c r="M23" s="1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716a0d-a2d2-43ef-b017-b39903adbcfe">
      <Terms xmlns="http://schemas.microsoft.com/office/infopath/2007/PartnerControls"/>
    </lcf76f155ced4ddcb4097134ff3c332f>
    <TaxCatchAll xmlns="06fd0310-5e46-4e7e-8aba-485cc6775f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B6F42E6F16AF4D8E16E06320358511" ma:contentTypeVersion="12" ma:contentTypeDescription="Create a new document." ma:contentTypeScope="" ma:versionID="ddf66405755d77396a72309b46e3a5cc">
  <xsd:schema xmlns:xsd="http://www.w3.org/2001/XMLSchema" xmlns:xs="http://www.w3.org/2001/XMLSchema" xmlns:p="http://schemas.microsoft.com/office/2006/metadata/properties" xmlns:ns2="48716a0d-a2d2-43ef-b017-b39903adbcfe" xmlns:ns3="06fd0310-5e46-4e7e-8aba-485cc6775f5b" targetNamespace="http://schemas.microsoft.com/office/2006/metadata/properties" ma:root="true" ma:fieldsID="ff73d4c4d99b134ed5039f6be27eade9" ns2:_="" ns3:_="">
    <xsd:import namespace="48716a0d-a2d2-43ef-b017-b39903adbcfe"/>
    <xsd:import namespace="06fd0310-5e46-4e7e-8aba-485cc6775f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16a0d-a2d2-43ef-b017-b39903adbc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743072-f4cd-4877-9a69-41b5fb0fac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d0310-5e46-4e7e-8aba-485cc6775f5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7a5bc-b30b-44cd-aebb-14fe2cfff6ce}" ma:internalName="TaxCatchAll" ma:showField="CatchAllData" ma:web="06fd0310-5e46-4e7e-8aba-485cc6775f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94188C-B591-4DB2-981F-AA8780AA9613}">
  <ds:schemaRefs>
    <ds:schemaRef ds:uri="http://purl.org/dc/terms/"/>
    <ds:schemaRef ds:uri="48716a0d-a2d2-43ef-b017-b39903adbcf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6fd0310-5e46-4e7e-8aba-485cc6775f5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37C5EAD-3BF4-49AF-8B3C-8FA22AC41F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1DD88F-68C0-4FC4-B385-AC594D3705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16a0d-a2d2-43ef-b017-b39903adbcfe"/>
    <ds:schemaRef ds:uri="06fd0310-5e46-4e7e-8aba-485cc6775f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534bd91-0a23-4a0b-a489-1e574649ddda}" enabled="0" method="" siteId="{f534bd91-0a23-4a0b-a489-1e574649ddd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Rasmussen</dc:creator>
  <cp:lastModifiedBy>Pedro Fasting</cp:lastModifiedBy>
  <dcterms:created xsi:type="dcterms:W3CDTF">2023-10-09T16:28:20Z</dcterms:created>
  <dcterms:modified xsi:type="dcterms:W3CDTF">2026-02-24T19:24:54Z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0x010100DFB6F42E6F16AF4D8E16E06320358511</vt:lpwstr>
  </property>
  <property fmtid="{D5CDD505-2E9C-101B-9397-08002B2CF9AE}" pid="3" name="Order">
    <vt:r8>4200</vt:r8>
  </property>
  <property fmtid="{D5CDD505-2E9C-101B-9397-08002B2CF9AE}" pid="4" name="MediaServiceImageTags">
    <vt:lpwstr/>
  </property>
</Properties>
</file>